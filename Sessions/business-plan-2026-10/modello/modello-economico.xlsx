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potesi" sheetId="1" state="visible" r:id="rId3"/>
    <sheet name="Mensile" sheetId="2" state="visible" r:id="rId4"/>
    <sheet name="Sintesi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<sst xmlns="http://schemas.openxmlformats.org/spreadsheetml/2006/main" count="121" uniqueCount="116">
  <si>
    <t xml:space="preserve">CasaZen - modello economico 36 mesi (nov 2026 - ott 2029). Celle gialle = ipotesi modificabili.</t>
  </si>
  <si>
    <t xml:space="preserve">Fonti: PR #526 §5-§6 per prezzi e costi unitari; il resto è IPOTESI (vedi business-plan.md §10).</t>
  </si>
  <si>
    <t xml:space="preserve">Scenario attivo (1-3)</t>
  </si>
  <si>
    <t xml:space="preserve">Prezzi e costi unitari</t>
  </si>
  <si>
    <t xml:space="preserve">Listino tutto compreso 10-49 unità (€/unità)</t>
  </si>
  <si>
    <t xml:space="preserve">Listino tutto compreso 50-149 unità (€/unità)</t>
  </si>
  <si>
    <t xml:space="preserve">Listino tutto compreso 150-399 unità (€/unità)</t>
  </si>
  <si>
    <t xml:space="preserve">Verifiche d'identità per unità al mese</t>
  </si>
  <si>
    <t xml:space="preserve">Canone Founding Partner (€/unità)</t>
  </si>
  <si>
    <t xml:space="preserve">NextPax minimo mensile (€)</t>
  </si>
  <si>
    <t xml:space="preserve">Unità incluse nel minimo NextPax</t>
  </si>
  <si>
    <t xml:space="preserve">NextPax oltre il minimo (€/unità)</t>
  </si>
  <si>
    <t xml:space="preserve">SDI, AI, video (€/unità)</t>
  </si>
  <si>
    <t xml:space="preserve">Costo di una verifica (€)</t>
  </si>
  <si>
    <t xml:space="preserve">Canone B2C (€/host) - IPOTESI</t>
  </si>
  <si>
    <t xml:space="preserve">Unità medie per host B2C - IPOTESI</t>
  </si>
  <si>
    <t xml:space="preserve">Costi fissi</t>
  </si>
  <si>
    <t xml:space="preserve">Piattaforma prima del go-live (€/mese)</t>
  </si>
  <si>
    <t xml:space="preserve">Piattaforma in produzione, senza NextPax (€/mese)</t>
  </si>
  <si>
    <t xml:space="preserve">Vercel Pro (€/mese)</t>
  </si>
  <si>
    <t xml:space="preserve">Commercialista, PEC, banca (€/mese) - IPOTESI</t>
  </si>
  <si>
    <t xml:space="preserve">Assicurazioni (€/mese) - IPOTESI</t>
  </si>
  <si>
    <t xml:space="preserve">Mese da cui la società ha costi</t>
  </si>
  <si>
    <t xml:space="preserve">Pareri e contratti una tantum (€) - IPOTESI</t>
  </si>
  <si>
    <t xml:space="preserve">Mese della spesa una tantum</t>
  </si>
  <si>
    <t xml:space="preserve">Marketing e vendite dal go-live (€/mese) - IPOTESI</t>
  </si>
  <si>
    <t xml:space="preserve">Scenari</t>
  </si>
  <si>
    <t xml:space="preserve">A. Solo Quokka</t>
  </si>
  <si>
    <t xml:space="preserve">B. Ritardo</t>
  </si>
  <si>
    <t xml:space="preserve">C. Obiettivo</t>
  </si>
  <si>
    <t xml:space="preserve">Attivo</t>
  </si>
  <si>
    <t xml:space="preserve">Mese go-live Quokka (vuoto = mai)</t>
  </si>
  <si>
    <t xml:space="preserve">Unità Quokka</t>
  </si>
  <si>
    <t xml:space="preserve">Primo mese altri Founding Partner</t>
  </si>
  <si>
    <t xml:space="preserve">Posti Founding Partner oltre Quokka</t>
  </si>
  <si>
    <t xml:space="preserve">Nuovi Founding Partner al mese</t>
  </si>
  <si>
    <t xml:space="preserve">Primo mese agenzie a listino</t>
  </si>
  <si>
    <t xml:space="preserve">Nuove agenzie a listino al mese</t>
  </si>
  <si>
    <t xml:space="preserve">Unità medie per agenzia</t>
  </si>
  <si>
    <t xml:space="preserve">Churn mensile agenzie a listino</t>
  </si>
  <si>
    <t xml:space="preserve">Primo mese B2C a pagamento</t>
  </si>
  <si>
    <t xml:space="preserve">Nuovi host B2C al mese</t>
  </si>
  <si>
    <t xml:space="preserve">Churn mensile B2C</t>
  </si>
  <si>
    <t xml:space="preserve">Compenso fondatore dal go-live (€/mese, costo azienda)</t>
  </si>
  <si>
    <t xml:space="preserve">Assunzione supporto oltre N unità B2B</t>
  </si>
  <si>
    <t xml:space="preserve">Costo supporto (€/mese)</t>
  </si>
  <si>
    <t xml:space="preserve">Mese</t>
  </si>
  <si>
    <t xml:space="preserve">nov 2026</t>
  </si>
  <si>
    <t xml:space="preserve">dic 2026</t>
  </si>
  <si>
    <t xml:space="preserve">gen 2027</t>
  </si>
  <si>
    <t xml:space="preserve">feb 2027</t>
  </si>
  <si>
    <t xml:space="preserve">mar 2027</t>
  </si>
  <si>
    <t xml:space="preserve">apr 2027</t>
  </si>
  <si>
    <t xml:space="preserve">mag 2027</t>
  </si>
  <si>
    <t xml:space="preserve">giu 2027</t>
  </si>
  <si>
    <t xml:space="preserve">lug 2027</t>
  </si>
  <si>
    <t xml:space="preserve">ago 2027</t>
  </si>
  <si>
    <t xml:space="preserve">set 2027</t>
  </si>
  <si>
    <t xml:space="preserve">ott 2027</t>
  </si>
  <si>
    <t xml:space="preserve">nov 2027</t>
  </si>
  <si>
    <t xml:space="preserve">dic 2027</t>
  </si>
  <si>
    <t xml:space="preserve">gen 2028</t>
  </si>
  <si>
    <t xml:space="preserve">feb 2028</t>
  </si>
  <si>
    <t xml:space="preserve">mar 2028</t>
  </si>
  <si>
    <t xml:space="preserve">apr 2028</t>
  </si>
  <si>
    <t xml:space="preserve">mag 2028</t>
  </si>
  <si>
    <t xml:space="preserve">giu 2028</t>
  </si>
  <si>
    <t xml:space="preserve">lug 2028</t>
  </si>
  <si>
    <t xml:space="preserve">ago 2028</t>
  </si>
  <si>
    <t xml:space="preserve">set 2028</t>
  </si>
  <si>
    <t xml:space="preserve">ott 2028</t>
  </si>
  <si>
    <t xml:space="preserve">nov 2028</t>
  </si>
  <si>
    <t xml:space="preserve">dic 2028</t>
  </si>
  <si>
    <t xml:space="preserve">gen 2029</t>
  </si>
  <si>
    <t xml:space="preserve">feb 2029</t>
  </si>
  <si>
    <t xml:space="preserve">mar 2029</t>
  </si>
  <si>
    <t xml:space="preserve">apr 2029</t>
  </si>
  <si>
    <t xml:space="preserve">mag 2029</t>
  </si>
  <si>
    <t xml:space="preserve">giu 2029</t>
  </si>
  <si>
    <t xml:space="preserve">lug 2029</t>
  </si>
  <si>
    <t xml:space="preserve">ago 2029</t>
  </si>
  <si>
    <t xml:space="preserve">set 2029</t>
  </si>
  <si>
    <t xml:space="preserve">ott 2029</t>
  </si>
  <si>
    <t xml:space="preserve">Indice mese</t>
  </si>
  <si>
    <t xml:space="preserve">Quokka live (1/0)</t>
  </si>
  <si>
    <t xml:space="preserve">Altri Founding Partner (agenzie)</t>
  </si>
  <si>
    <t xml:space="preserve">Agenzie a listino</t>
  </si>
  <si>
    <t xml:space="preserve">Host B2C paganti</t>
  </si>
  <si>
    <t xml:space="preserve">Unità altri FP</t>
  </si>
  <si>
    <t xml:space="preserve">Unità a listino</t>
  </si>
  <si>
    <t xml:space="preserve">Unità B2B totali</t>
  </si>
  <si>
    <t xml:space="preserve">Prezzo listino applicato (€/unità)</t>
  </si>
  <si>
    <t xml:space="preserve">Ricavi canoni B2B</t>
  </si>
  <si>
    <t xml:space="preserve">Ricavi verifiche al costo (FP)</t>
  </si>
  <si>
    <t xml:space="preserve">Ricavi B2C</t>
  </si>
  <si>
    <t xml:space="preserve">RICAVI</t>
  </si>
  <si>
    <t xml:space="preserve">NextPax</t>
  </si>
  <si>
    <t xml:space="preserve">SDI, AI, video</t>
  </si>
  <si>
    <t xml:space="preserve">Verifiche d'identità</t>
  </si>
  <si>
    <t xml:space="preserve">Costi variabili B2C</t>
  </si>
  <si>
    <t xml:space="preserve">MARGINE LORDO</t>
  </si>
  <si>
    <t xml:space="preserve">Persone</t>
  </si>
  <si>
    <t xml:space="preserve">EBITDA</t>
  </si>
  <si>
    <t xml:space="preserve">Anticipo annuale FP (cassa)</t>
  </si>
  <si>
    <t xml:space="preserve">Cassa cumulata</t>
  </si>
  <si>
    <t xml:space="preserve">Sintesi annuale dello scenario attivo</t>
  </si>
  <si>
    <t xml:space="preserve">Anno 1 (nov 26-ott 27)</t>
  </si>
  <si>
    <t xml:space="preserve">Anno 2</t>
  </si>
  <si>
    <t xml:space="preserve">Anno 3</t>
  </si>
  <si>
    <t xml:space="preserve">Unità B2B a fine anno</t>
  </si>
  <si>
    <t xml:space="preserve">Host B2C a fine anno</t>
  </si>
  <si>
    <t xml:space="preserve">Ricavi</t>
  </si>
  <si>
    <t xml:space="preserve">Margine lordo</t>
  </si>
  <si>
    <t xml:space="preserve">Ricavi mensili a fine anno</t>
  </si>
  <si>
    <t xml:space="preserve">Cassa cumulata a fine anno</t>
  </si>
  <si>
    <t xml:space="preserve">Cassa cumulata minima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</si>
</sst>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#,##0;[RED]\-#,##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8"/>
    <col collapsed="false" customWidth="true" hidden="false" outlineLevel="0" max="6" min="3" style="0" width="16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B4" s="0" t="s">
        <v>2</v>
      </c>
      <c r="C4" s="2" t="n">
        <v>3</v>
      </c>
    </row>
    <row r="6" customFormat="false" ht="15" hidden="false" customHeight="false" outlineLevel="0" collapsed="false">
      <c r="A6" s="1" t="s">
        <v>3</v>
      </c>
    </row>
    <row r="7" customFormat="false" ht="15" hidden="false" customHeight="false" outlineLevel="0" collapsed="false">
      <c r="B7" s="0" t="s">
        <v>4</v>
      </c>
      <c r="C7" s="2" t="n">
        <v>15</v>
      </c>
    </row>
    <row r="8" customFormat="false" ht="15" hidden="false" customHeight="false" outlineLevel="0" collapsed="false">
      <c r="B8" s="0" t="s">
        <v>5</v>
      </c>
      <c r="C8" s="2" t="n">
        <v>14</v>
      </c>
    </row>
    <row r="9" customFormat="false" ht="15" hidden="false" customHeight="false" outlineLevel="0" collapsed="false">
      <c r="B9" s="0" t="s">
        <v>6</v>
      </c>
      <c r="C9" s="2" t="n">
        <v>13</v>
      </c>
    </row>
    <row r="10" customFormat="false" ht="15" hidden="false" customHeight="false" outlineLevel="0" collapsed="false">
      <c r="B10" s="0" t="s">
        <v>7</v>
      </c>
      <c r="C10" s="2" t="n">
        <v>8</v>
      </c>
    </row>
    <row r="11" customFormat="false" ht="15" hidden="false" customHeight="false" outlineLevel="0" collapsed="false">
      <c r="B11" s="0" t="s">
        <v>8</v>
      </c>
      <c r="C11" s="2" t="n">
        <v>6.92</v>
      </c>
    </row>
    <row r="12" customFormat="false" ht="15" hidden="false" customHeight="false" outlineLevel="0" collapsed="false">
      <c r="B12" s="0" t="s">
        <v>9</v>
      </c>
      <c r="C12" s="2" t="n">
        <v>350</v>
      </c>
    </row>
    <row r="13" customFormat="false" ht="15" hidden="false" customHeight="false" outlineLevel="0" collapsed="false">
      <c r="B13" s="0" t="s">
        <v>10</v>
      </c>
      <c r="C13" s="2" t="n">
        <v>50</v>
      </c>
    </row>
    <row r="14" customFormat="false" ht="15" hidden="false" customHeight="false" outlineLevel="0" collapsed="false">
      <c r="B14" s="0" t="s">
        <v>11</v>
      </c>
      <c r="C14" s="2" t="n">
        <v>3.15</v>
      </c>
    </row>
    <row r="15" customFormat="false" ht="15" hidden="false" customHeight="false" outlineLevel="0" collapsed="false">
      <c r="B15" s="0" t="s">
        <v>12</v>
      </c>
      <c r="C15" s="2" t="n">
        <v>0.4</v>
      </c>
    </row>
    <row r="16" customFormat="false" ht="15" hidden="false" customHeight="false" outlineLevel="0" collapsed="false">
      <c r="B16" s="0" t="s">
        <v>13</v>
      </c>
      <c r="C16" s="2" t="n">
        <v>0.48</v>
      </c>
    </row>
    <row r="17" customFormat="false" ht="15" hidden="false" customHeight="false" outlineLevel="0" collapsed="false">
      <c r="B17" s="0" t="s">
        <v>14</v>
      </c>
      <c r="C17" s="2" t="n">
        <v>29</v>
      </c>
    </row>
    <row r="18" customFormat="false" ht="15" hidden="false" customHeight="false" outlineLevel="0" collapsed="false">
      <c r="B18" s="0" t="s">
        <v>15</v>
      </c>
      <c r="C18" s="2" t="n">
        <v>2</v>
      </c>
    </row>
    <row r="20" customFormat="false" ht="15" hidden="false" customHeight="false" outlineLevel="0" collapsed="false">
      <c r="A20" s="1" t="s">
        <v>16</v>
      </c>
    </row>
    <row r="21" customFormat="false" ht="15" hidden="false" customHeight="false" outlineLevel="0" collapsed="false">
      <c r="B21" s="0" t="s">
        <v>17</v>
      </c>
      <c r="C21" s="2" t="n">
        <v>205</v>
      </c>
    </row>
    <row r="22" customFormat="false" ht="15" hidden="false" customHeight="false" outlineLevel="0" collapsed="false">
      <c r="B22" s="0" t="s">
        <v>18</v>
      </c>
      <c r="C22" s="2" t="n">
        <v>375</v>
      </c>
    </row>
    <row r="23" customFormat="false" ht="15" hidden="false" customHeight="false" outlineLevel="0" collapsed="false">
      <c r="B23" s="0" t="s">
        <v>19</v>
      </c>
      <c r="C23" s="2" t="n">
        <v>20</v>
      </c>
    </row>
    <row r="24" customFormat="false" ht="15" hidden="false" customHeight="false" outlineLevel="0" collapsed="false">
      <c r="B24" s="0" t="s">
        <v>20</v>
      </c>
      <c r="C24" s="2" t="n">
        <v>150</v>
      </c>
    </row>
    <row r="25" customFormat="false" ht="15" hidden="false" customHeight="false" outlineLevel="0" collapsed="false">
      <c r="B25" s="0" t="s">
        <v>21</v>
      </c>
      <c r="C25" s="2" t="n">
        <v>100</v>
      </c>
    </row>
    <row r="26" customFormat="false" ht="15" hidden="false" customHeight="false" outlineLevel="0" collapsed="false">
      <c r="B26" s="0" t="s">
        <v>22</v>
      </c>
      <c r="C26" s="2" t="n">
        <v>2</v>
      </c>
    </row>
    <row r="27" customFormat="false" ht="15" hidden="false" customHeight="false" outlineLevel="0" collapsed="false">
      <c r="B27" s="0" t="s">
        <v>23</v>
      </c>
      <c r="C27" s="2" t="n">
        <v>6000</v>
      </c>
    </row>
    <row r="28" customFormat="false" ht="15" hidden="false" customHeight="false" outlineLevel="0" collapsed="false">
      <c r="B28" s="0" t="s">
        <v>24</v>
      </c>
      <c r="C28" s="2" t="n">
        <v>3</v>
      </c>
    </row>
    <row r="29" customFormat="false" ht="15" hidden="false" customHeight="false" outlineLevel="0" collapsed="false">
      <c r="B29" s="0" t="s">
        <v>25</v>
      </c>
      <c r="C29" s="2" t="n">
        <v>300</v>
      </c>
    </row>
    <row r="31" customFormat="false" ht="15" hidden="false" customHeight="false" outlineLevel="0" collapsed="false">
      <c r="A31" s="1" t="s">
        <v>26</v>
      </c>
      <c r="C31" s="1" t="s">
        <v>27</v>
      </c>
      <c r="D31" s="1" t="s">
        <v>28</v>
      </c>
      <c r="E31" s="1" t="s">
        <v>29</v>
      </c>
      <c r="F31" s="1" t="s">
        <v>30</v>
      </c>
    </row>
    <row r="32" customFormat="false" ht="15" hidden="false" customHeight="false" outlineLevel="0" collapsed="false">
      <c r="B32" s="0" t="s">
        <v>31</v>
      </c>
      <c r="C32" s="2" t="n">
        <v>7</v>
      </c>
      <c r="D32" s="2" t="n">
        <v>13</v>
      </c>
      <c r="E32" s="2" t="n">
        <v>7</v>
      </c>
      <c r="F32" s="3" t="n">
        <f aca="false">INDEX(C32:E32,1,$C$4)</f>
        <v>7</v>
      </c>
    </row>
    <row r="33" customFormat="false" ht="15" hidden="false" customHeight="false" outlineLevel="0" collapsed="false">
      <c r="B33" s="0" t="s">
        <v>32</v>
      </c>
      <c r="C33" s="2" t="n">
        <v>250</v>
      </c>
      <c r="D33" s="2" t="n">
        <v>250</v>
      </c>
      <c r="E33" s="2" t="n">
        <v>250</v>
      </c>
      <c r="F33" s="3" t="n">
        <f aca="false">INDEX(C33:E33,1,$C$4)</f>
        <v>250</v>
      </c>
    </row>
    <row r="34" customFormat="false" ht="15" hidden="false" customHeight="false" outlineLevel="0" collapsed="false">
      <c r="B34" s="0" t="s">
        <v>33</v>
      </c>
      <c r="C34" s="2" t="n">
        <v>99999</v>
      </c>
      <c r="D34" s="2" t="n">
        <v>16</v>
      </c>
      <c r="E34" s="2" t="n">
        <v>9</v>
      </c>
      <c r="F34" s="3" t="n">
        <f aca="false">INDEX(C34:E34,1,$C$4)</f>
        <v>9</v>
      </c>
    </row>
    <row r="35" customFormat="false" ht="15" hidden="false" customHeight="false" outlineLevel="0" collapsed="false">
      <c r="B35" s="0" t="s">
        <v>34</v>
      </c>
      <c r="C35" s="2" t="n">
        <v>9</v>
      </c>
      <c r="D35" s="2" t="n">
        <v>9</v>
      </c>
      <c r="E35" s="2" t="n">
        <v>9</v>
      </c>
      <c r="F35" s="3" t="n">
        <f aca="false">INDEX(C35:E35,1,$C$4)</f>
        <v>9</v>
      </c>
    </row>
    <row r="36" customFormat="false" ht="15" hidden="false" customHeight="false" outlineLevel="0" collapsed="false">
      <c r="B36" s="0" t="s">
        <v>35</v>
      </c>
      <c r="C36" s="2" t="n">
        <v>0</v>
      </c>
      <c r="D36" s="2" t="n">
        <v>0.25</v>
      </c>
      <c r="E36" s="2" t="n">
        <v>0.6</v>
      </c>
      <c r="F36" s="3" t="n">
        <f aca="false">INDEX(C36:E36,1,$C$4)</f>
        <v>0.6</v>
      </c>
    </row>
    <row r="37" customFormat="false" ht="15" hidden="false" customHeight="false" outlineLevel="0" collapsed="false">
      <c r="B37" s="0" t="s">
        <v>36</v>
      </c>
      <c r="C37" s="2" t="n">
        <v>99999</v>
      </c>
      <c r="D37" s="2" t="n">
        <v>99999</v>
      </c>
      <c r="E37" s="2" t="n">
        <v>25</v>
      </c>
      <c r="F37" s="3" t="n">
        <f aca="false">INDEX(C37:E37,1,$C$4)</f>
        <v>25</v>
      </c>
    </row>
    <row r="38" customFormat="false" ht="15" hidden="false" customHeight="false" outlineLevel="0" collapsed="false">
      <c r="B38" s="0" t="s">
        <v>37</v>
      </c>
      <c r="C38" s="2" t="n">
        <v>0</v>
      </c>
      <c r="D38" s="2" t="n">
        <v>0</v>
      </c>
      <c r="E38" s="2" t="n">
        <v>1</v>
      </c>
      <c r="F38" s="3" t="n">
        <f aca="false">INDEX(C38:E38,1,$C$4)</f>
        <v>1</v>
      </c>
    </row>
    <row r="39" customFormat="false" ht="15" hidden="false" customHeight="false" outlineLevel="0" collapsed="false">
      <c r="B39" s="0" t="s">
        <v>38</v>
      </c>
      <c r="C39" s="2" t="n">
        <v>40</v>
      </c>
      <c r="D39" s="2" t="n">
        <v>40</v>
      </c>
      <c r="E39" s="2" t="n">
        <v>40</v>
      </c>
      <c r="F39" s="3" t="n">
        <f aca="false">INDEX(C39:E39,1,$C$4)</f>
        <v>40</v>
      </c>
    </row>
    <row r="40" customFormat="false" ht="15" hidden="false" customHeight="false" outlineLevel="0" collapsed="false">
      <c r="B40" s="0" t="s">
        <v>39</v>
      </c>
      <c r="C40" s="2" t="n">
        <v>0.01</v>
      </c>
      <c r="D40" s="2" t="n">
        <v>0.01</v>
      </c>
      <c r="E40" s="2" t="n">
        <v>0.01</v>
      </c>
      <c r="F40" s="3" t="n">
        <f aca="false">INDEX(C40:E40,1,$C$4)</f>
        <v>0.01</v>
      </c>
    </row>
    <row r="41" customFormat="false" ht="15" hidden="false" customHeight="false" outlineLevel="0" collapsed="false">
      <c r="B41" s="0" t="s">
        <v>40</v>
      </c>
      <c r="C41" s="2" t="n">
        <v>99999</v>
      </c>
      <c r="D41" s="2" t="n">
        <v>16</v>
      </c>
      <c r="E41" s="2" t="n">
        <v>10</v>
      </c>
      <c r="F41" s="3" t="n">
        <f aca="false">INDEX(C41:E41,1,$C$4)</f>
        <v>10</v>
      </c>
    </row>
    <row r="42" customFormat="false" ht="15" hidden="false" customHeight="false" outlineLevel="0" collapsed="false">
      <c r="B42" s="0" t="s">
        <v>41</v>
      </c>
      <c r="C42" s="2" t="n">
        <v>0</v>
      </c>
      <c r="D42" s="2" t="n">
        <v>2</v>
      </c>
      <c r="E42" s="2" t="n">
        <v>6</v>
      </c>
      <c r="F42" s="3" t="n">
        <f aca="false">INDEX(C42:E42,1,$C$4)</f>
        <v>6</v>
      </c>
    </row>
    <row r="43" customFormat="false" ht="15" hidden="false" customHeight="false" outlineLevel="0" collapsed="false">
      <c r="B43" s="0" t="s">
        <v>42</v>
      </c>
      <c r="C43" s="2" t="n">
        <v>0.03</v>
      </c>
      <c r="D43" s="2" t="n">
        <v>0.03</v>
      </c>
      <c r="E43" s="2" t="n">
        <v>0.03</v>
      </c>
      <c r="F43" s="3" t="n">
        <f aca="false">INDEX(C43:E43,1,$C$4)</f>
        <v>0.03</v>
      </c>
    </row>
    <row r="44" customFormat="false" ht="15" hidden="false" customHeight="false" outlineLevel="0" collapsed="false">
      <c r="B44" s="0" t="s">
        <v>43</v>
      </c>
      <c r="C44" s="2" t="n">
        <v>0</v>
      </c>
      <c r="D44" s="2" t="n">
        <v>0</v>
      </c>
      <c r="E44" s="2" t="n">
        <v>0</v>
      </c>
      <c r="F44" s="3" t="n">
        <f aca="false">INDEX(C44:E44,1,$C$4)</f>
        <v>0</v>
      </c>
    </row>
    <row r="45" customFormat="false" ht="15" hidden="false" customHeight="false" outlineLevel="0" collapsed="false">
      <c r="B45" s="0" t="s">
        <v>44</v>
      </c>
      <c r="C45" s="2" t="n">
        <v>99999</v>
      </c>
      <c r="D45" s="2" t="n">
        <v>99999</v>
      </c>
      <c r="E45" s="2" t="n">
        <v>1000</v>
      </c>
      <c r="F45" s="3" t="n">
        <f aca="false">INDEX(C45:E45,1,$C$4)</f>
        <v>1000</v>
      </c>
    </row>
    <row r="46" customFormat="false" ht="15" hidden="false" customHeight="false" outlineLevel="0" collapsed="false">
      <c r="B46" s="0" t="s">
        <v>45</v>
      </c>
      <c r="C46" s="2" t="n">
        <v>3000</v>
      </c>
      <c r="D46" s="2" t="n">
        <v>3000</v>
      </c>
      <c r="E46" s="2" t="n">
        <v>3000</v>
      </c>
      <c r="F46" s="3" t="n">
        <f aca="false">INDEX(C46:E46,1,$C$4)</f>
        <v>3000</v>
      </c>
    </row>
  </sheetData>
  <dataValidations count="1">
    <dataValidation allowBlank="false" errorStyle="stop" operator="between" showDropDown="false" showErrorMessage="false" showInputMessage="false" sqref="C4" type="whole">
      <formula1>1</formula1>
      <formula2>3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7" min="2" style="0" width="11"/>
  </cols>
  <sheetData>
    <row r="1" customFormat="false" ht="15" hidden="false" customHeight="false" outlineLevel="0" collapsed="false">
      <c r="A1" s="1" t="s">
        <v>46</v>
      </c>
      <c r="B1" s="4" t="s">
        <v>47</v>
      </c>
      <c r="C1" s="4" t="s">
        <v>48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53</v>
      </c>
      <c r="I1" s="4" t="s">
        <v>54</v>
      </c>
      <c r="J1" s="4" t="s">
        <v>55</v>
      </c>
      <c r="K1" s="4" t="s">
        <v>56</v>
      </c>
      <c r="L1" s="4" t="s">
        <v>57</v>
      </c>
      <c r="M1" s="4" t="s">
        <v>58</v>
      </c>
      <c r="N1" s="4" t="s">
        <v>59</v>
      </c>
      <c r="O1" s="4" t="s">
        <v>60</v>
      </c>
      <c r="P1" s="4" t="s">
        <v>61</v>
      </c>
      <c r="Q1" s="4" t="s">
        <v>62</v>
      </c>
      <c r="R1" s="4" t="s">
        <v>63</v>
      </c>
      <c r="S1" s="4" t="s">
        <v>64</v>
      </c>
      <c r="T1" s="4" t="s">
        <v>65</v>
      </c>
      <c r="U1" s="4" t="s">
        <v>66</v>
      </c>
      <c r="V1" s="4" t="s">
        <v>67</v>
      </c>
      <c r="W1" s="4" t="s">
        <v>68</v>
      </c>
      <c r="X1" s="4" t="s">
        <v>69</v>
      </c>
      <c r="Y1" s="4" t="s">
        <v>70</v>
      </c>
      <c r="Z1" s="4" t="s">
        <v>71</v>
      </c>
      <c r="AA1" s="4" t="s">
        <v>72</v>
      </c>
      <c r="AB1" s="4" t="s">
        <v>73</v>
      </c>
      <c r="AC1" s="4" t="s">
        <v>74</v>
      </c>
      <c r="AD1" s="4" t="s">
        <v>75</v>
      </c>
      <c r="AE1" s="4" t="s">
        <v>76</v>
      </c>
      <c r="AF1" s="4" t="s">
        <v>77</v>
      </c>
      <c r="AG1" s="4" t="s">
        <v>78</v>
      </c>
      <c r="AH1" s="4" t="s">
        <v>79</v>
      </c>
      <c r="AI1" s="4" t="s">
        <v>80</v>
      </c>
      <c r="AJ1" s="4" t="s">
        <v>81</v>
      </c>
      <c r="AK1" s="4" t="s">
        <v>82</v>
      </c>
    </row>
    <row r="2" customFormat="false" ht="15" hidden="false" customHeight="false" outlineLevel="0" collapsed="false">
      <c r="A2" s="0" t="s">
        <v>83</v>
      </c>
      <c r="B2" s="0" t="n">
        <v>1</v>
      </c>
      <c r="C2" s="0" t="n">
        <v>2</v>
      </c>
      <c r="D2" s="0" t="n">
        <v>3</v>
      </c>
      <c r="E2" s="0" t="n">
        <v>4</v>
      </c>
      <c r="F2" s="0" t="n">
        <v>5</v>
      </c>
      <c r="G2" s="0" t="n">
        <v>6</v>
      </c>
      <c r="H2" s="0" t="n">
        <v>7</v>
      </c>
      <c r="I2" s="0" t="n">
        <v>8</v>
      </c>
      <c r="J2" s="0" t="n">
        <v>9</v>
      </c>
      <c r="K2" s="0" t="n">
        <v>10</v>
      </c>
      <c r="L2" s="0" t="n">
        <v>11</v>
      </c>
      <c r="M2" s="0" t="n">
        <v>12</v>
      </c>
      <c r="N2" s="0" t="n">
        <v>13</v>
      </c>
      <c r="O2" s="0" t="n">
        <v>14</v>
      </c>
      <c r="P2" s="0" t="n">
        <v>15</v>
      </c>
      <c r="Q2" s="0" t="n">
        <v>16</v>
      </c>
      <c r="R2" s="0" t="n">
        <v>17</v>
      </c>
      <c r="S2" s="0" t="n">
        <v>18</v>
      </c>
      <c r="T2" s="0" t="n">
        <v>19</v>
      </c>
      <c r="U2" s="0" t="n">
        <v>20</v>
      </c>
      <c r="V2" s="0" t="n">
        <v>21</v>
      </c>
      <c r="W2" s="0" t="n">
        <v>22</v>
      </c>
      <c r="X2" s="0" t="n">
        <v>23</v>
      </c>
      <c r="Y2" s="0" t="n">
        <v>24</v>
      </c>
      <c r="Z2" s="0" t="n">
        <v>25</v>
      </c>
      <c r="AA2" s="0" t="n">
        <v>26</v>
      </c>
      <c r="AB2" s="0" t="n">
        <v>27</v>
      </c>
      <c r="AC2" s="0" t="n">
        <v>28</v>
      </c>
      <c r="AD2" s="0" t="n">
        <v>29</v>
      </c>
      <c r="AE2" s="0" t="n">
        <v>30</v>
      </c>
      <c r="AF2" s="0" t="n">
        <v>31</v>
      </c>
      <c r="AG2" s="0" t="n">
        <v>32</v>
      </c>
      <c r="AH2" s="0" t="n">
        <v>33</v>
      </c>
      <c r="AI2" s="0" t="n">
        <v>34</v>
      </c>
      <c r="AJ2" s="0" t="n">
        <v>35</v>
      </c>
      <c r="AK2" s="0" t="n">
        <v>36</v>
      </c>
    </row>
    <row r="3" customFormat="false" ht="15" hidden="false" customHeight="false" outlineLevel="0" collapsed="false">
      <c r="A3" s="0" t="s">
        <v>84</v>
      </c>
      <c r="B3" s="0" t="n">
        <f aca="false">IF(B2&gt;=Ipotesi!$F$32,1,0)</f>
        <v>0</v>
      </c>
      <c r="C3" s="0" t="n">
        <f aca="false">IF(C2&gt;=Ipotesi!$F$32,1,0)</f>
        <v>0</v>
      </c>
      <c r="D3" s="0" t="n">
        <f aca="false">IF(D2&gt;=Ipotesi!$F$32,1,0)</f>
        <v>0</v>
      </c>
      <c r="E3" s="0" t="n">
        <f aca="false">IF(E2&gt;=Ipotesi!$F$32,1,0)</f>
        <v>0</v>
      </c>
      <c r="F3" s="0" t="n">
        <f aca="false">IF(F2&gt;=Ipotesi!$F$32,1,0)</f>
        <v>0</v>
      </c>
      <c r="G3" s="0" t="n">
        <f aca="false">IF(G2&gt;=Ipotesi!$F$32,1,0)</f>
        <v>0</v>
      </c>
      <c r="H3" s="0" t="n">
        <f aca="false">IF(H2&gt;=Ipotesi!$F$32,1,0)</f>
        <v>1</v>
      </c>
      <c r="I3" s="0" t="n">
        <f aca="false">IF(I2&gt;=Ipotesi!$F$32,1,0)</f>
        <v>1</v>
      </c>
      <c r="J3" s="0" t="n">
        <f aca="false">IF(J2&gt;=Ipotesi!$F$32,1,0)</f>
        <v>1</v>
      </c>
      <c r="K3" s="0" t="n">
        <f aca="false">IF(K2&gt;=Ipotesi!$F$32,1,0)</f>
        <v>1</v>
      </c>
      <c r="L3" s="0" t="n">
        <f aca="false">IF(L2&gt;=Ipotesi!$F$32,1,0)</f>
        <v>1</v>
      </c>
      <c r="M3" s="0" t="n">
        <f aca="false">IF(M2&gt;=Ipotesi!$F$32,1,0)</f>
        <v>1</v>
      </c>
      <c r="N3" s="0" t="n">
        <f aca="false">IF(N2&gt;=Ipotesi!$F$32,1,0)</f>
        <v>1</v>
      </c>
      <c r="O3" s="0" t="n">
        <f aca="false">IF(O2&gt;=Ipotesi!$F$32,1,0)</f>
        <v>1</v>
      </c>
      <c r="P3" s="0" t="n">
        <f aca="false">IF(P2&gt;=Ipotesi!$F$32,1,0)</f>
        <v>1</v>
      </c>
      <c r="Q3" s="0" t="n">
        <f aca="false">IF(Q2&gt;=Ipotesi!$F$32,1,0)</f>
        <v>1</v>
      </c>
      <c r="R3" s="0" t="n">
        <f aca="false">IF(R2&gt;=Ipotesi!$F$32,1,0)</f>
        <v>1</v>
      </c>
      <c r="S3" s="0" t="n">
        <f aca="false">IF(S2&gt;=Ipotesi!$F$32,1,0)</f>
        <v>1</v>
      </c>
      <c r="T3" s="0" t="n">
        <f aca="false">IF(T2&gt;=Ipotesi!$F$32,1,0)</f>
        <v>1</v>
      </c>
      <c r="U3" s="0" t="n">
        <f aca="false">IF(U2&gt;=Ipotesi!$F$32,1,0)</f>
        <v>1</v>
      </c>
      <c r="V3" s="0" t="n">
        <f aca="false">IF(V2&gt;=Ipotesi!$F$32,1,0)</f>
        <v>1</v>
      </c>
      <c r="W3" s="0" t="n">
        <f aca="false">IF(W2&gt;=Ipotesi!$F$32,1,0)</f>
        <v>1</v>
      </c>
      <c r="X3" s="0" t="n">
        <f aca="false">IF(X2&gt;=Ipotesi!$F$32,1,0)</f>
        <v>1</v>
      </c>
      <c r="Y3" s="0" t="n">
        <f aca="false">IF(Y2&gt;=Ipotesi!$F$32,1,0)</f>
        <v>1</v>
      </c>
      <c r="Z3" s="0" t="n">
        <f aca="false">IF(Z2&gt;=Ipotesi!$F$32,1,0)</f>
        <v>1</v>
      </c>
      <c r="AA3" s="0" t="n">
        <f aca="false">IF(AA2&gt;=Ipotesi!$F$32,1,0)</f>
        <v>1</v>
      </c>
      <c r="AB3" s="0" t="n">
        <f aca="false">IF(AB2&gt;=Ipotesi!$F$32,1,0)</f>
        <v>1</v>
      </c>
      <c r="AC3" s="0" t="n">
        <f aca="false">IF(AC2&gt;=Ipotesi!$F$32,1,0)</f>
        <v>1</v>
      </c>
      <c r="AD3" s="0" t="n">
        <f aca="false">IF(AD2&gt;=Ipotesi!$F$32,1,0)</f>
        <v>1</v>
      </c>
      <c r="AE3" s="0" t="n">
        <f aca="false">IF(AE2&gt;=Ipotesi!$F$32,1,0)</f>
        <v>1</v>
      </c>
      <c r="AF3" s="0" t="n">
        <f aca="false">IF(AF2&gt;=Ipotesi!$F$32,1,0)</f>
        <v>1</v>
      </c>
      <c r="AG3" s="0" t="n">
        <f aca="false">IF(AG2&gt;=Ipotesi!$F$32,1,0)</f>
        <v>1</v>
      </c>
      <c r="AH3" s="0" t="n">
        <f aca="false">IF(AH2&gt;=Ipotesi!$F$32,1,0)</f>
        <v>1</v>
      </c>
      <c r="AI3" s="0" t="n">
        <f aca="false">IF(AI2&gt;=Ipotesi!$F$32,1,0)</f>
        <v>1</v>
      </c>
      <c r="AJ3" s="0" t="n">
        <f aca="false">IF(AJ2&gt;=Ipotesi!$F$32,1,0)</f>
        <v>1</v>
      </c>
      <c r="AK3" s="0" t="n">
        <f aca="false">IF(AK2&gt;=Ipotesi!$F$32,1,0)</f>
        <v>1</v>
      </c>
    </row>
    <row r="4" customFormat="false" ht="15" hidden="false" customHeight="false" outlineLevel="0" collapsed="false">
      <c r="A4" s="0" t="s">
        <v>32</v>
      </c>
      <c r="B4" s="5" t="n">
        <f aca="false">B3*Ipotesi!$F$33</f>
        <v>0</v>
      </c>
      <c r="C4" s="5" t="n">
        <f aca="false">C3*Ipotesi!$F$33</f>
        <v>0</v>
      </c>
      <c r="D4" s="5" t="n">
        <f aca="false">D3*Ipotesi!$F$33</f>
        <v>0</v>
      </c>
      <c r="E4" s="5" t="n">
        <f aca="false">E3*Ipotesi!$F$33</f>
        <v>0</v>
      </c>
      <c r="F4" s="5" t="n">
        <f aca="false">F3*Ipotesi!$F$33</f>
        <v>0</v>
      </c>
      <c r="G4" s="5" t="n">
        <f aca="false">G3*Ipotesi!$F$33</f>
        <v>0</v>
      </c>
      <c r="H4" s="5" t="n">
        <f aca="false">H3*Ipotesi!$F$33</f>
        <v>250</v>
      </c>
      <c r="I4" s="5" t="n">
        <f aca="false">I3*Ipotesi!$F$33</f>
        <v>250</v>
      </c>
      <c r="J4" s="5" t="n">
        <f aca="false">J3*Ipotesi!$F$33</f>
        <v>250</v>
      </c>
      <c r="K4" s="5" t="n">
        <f aca="false">K3*Ipotesi!$F$33</f>
        <v>250</v>
      </c>
      <c r="L4" s="5" t="n">
        <f aca="false">L3*Ipotesi!$F$33</f>
        <v>250</v>
      </c>
      <c r="M4" s="5" t="n">
        <f aca="false">M3*Ipotesi!$F$33</f>
        <v>250</v>
      </c>
      <c r="N4" s="5" t="n">
        <f aca="false">N3*Ipotesi!$F$33</f>
        <v>250</v>
      </c>
      <c r="O4" s="5" t="n">
        <f aca="false">O3*Ipotesi!$F$33</f>
        <v>250</v>
      </c>
      <c r="P4" s="5" t="n">
        <f aca="false">P3*Ipotesi!$F$33</f>
        <v>250</v>
      </c>
      <c r="Q4" s="5" t="n">
        <f aca="false">Q3*Ipotesi!$F$33</f>
        <v>250</v>
      </c>
      <c r="R4" s="5" t="n">
        <f aca="false">R3*Ipotesi!$F$33</f>
        <v>250</v>
      </c>
      <c r="S4" s="5" t="n">
        <f aca="false">S3*Ipotesi!$F$33</f>
        <v>250</v>
      </c>
      <c r="T4" s="5" t="n">
        <f aca="false">T3*Ipotesi!$F$33</f>
        <v>250</v>
      </c>
      <c r="U4" s="5" t="n">
        <f aca="false">U3*Ipotesi!$F$33</f>
        <v>250</v>
      </c>
      <c r="V4" s="5" t="n">
        <f aca="false">V3*Ipotesi!$F$33</f>
        <v>250</v>
      </c>
      <c r="W4" s="5" t="n">
        <f aca="false">W3*Ipotesi!$F$33</f>
        <v>250</v>
      </c>
      <c r="X4" s="5" t="n">
        <f aca="false">X3*Ipotesi!$F$33</f>
        <v>250</v>
      </c>
      <c r="Y4" s="5" t="n">
        <f aca="false">Y3*Ipotesi!$F$33</f>
        <v>250</v>
      </c>
      <c r="Z4" s="5" t="n">
        <f aca="false">Z3*Ipotesi!$F$33</f>
        <v>250</v>
      </c>
      <c r="AA4" s="5" t="n">
        <f aca="false">AA3*Ipotesi!$F$33</f>
        <v>250</v>
      </c>
      <c r="AB4" s="5" t="n">
        <f aca="false">AB3*Ipotesi!$F$33</f>
        <v>250</v>
      </c>
      <c r="AC4" s="5" t="n">
        <f aca="false">AC3*Ipotesi!$F$33</f>
        <v>250</v>
      </c>
      <c r="AD4" s="5" t="n">
        <f aca="false">AD3*Ipotesi!$F$33</f>
        <v>250</v>
      </c>
      <c r="AE4" s="5" t="n">
        <f aca="false">AE3*Ipotesi!$F$33</f>
        <v>250</v>
      </c>
      <c r="AF4" s="5" t="n">
        <f aca="false">AF3*Ipotesi!$F$33</f>
        <v>250</v>
      </c>
      <c r="AG4" s="5" t="n">
        <f aca="false">AG3*Ipotesi!$F$33</f>
        <v>250</v>
      </c>
      <c r="AH4" s="5" t="n">
        <f aca="false">AH3*Ipotesi!$F$33</f>
        <v>250</v>
      </c>
      <c r="AI4" s="5" t="n">
        <f aca="false">AI3*Ipotesi!$F$33</f>
        <v>250</v>
      </c>
      <c r="AJ4" s="5" t="n">
        <f aca="false">AJ3*Ipotesi!$F$33</f>
        <v>250</v>
      </c>
      <c r="AK4" s="5" t="n">
        <f aca="false">AK3*Ipotesi!$F$33</f>
        <v>250</v>
      </c>
    </row>
    <row r="5" customFormat="false" ht="15" hidden="false" customHeight="false" outlineLevel="0" collapsed="false">
      <c r="A5" s="0" t="s">
        <v>85</v>
      </c>
      <c r="B5" s="0" t="n">
        <f aca="false">IF(AND(B2&gt;=Ipotesi!$F$34,B3=1),MIN(Ipotesi!$F$35,0+Ipotesi!$F$36),0)</f>
        <v>0</v>
      </c>
      <c r="C5" s="0" t="n">
        <f aca="false">IF(AND(C2&gt;=Ipotesi!$F$34,C3=1),MIN(Ipotesi!$F$35,B5+Ipotesi!$F$36),B5)</f>
        <v>0</v>
      </c>
      <c r="D5" s="0" t="n">
        <f aca="false">IF(AND(D2&gt;=Ipotesi!$F$34,D3=1),MIN(Ipotesi!$F$35,C5+Ipotesi!$F$36),C5)</f>
        <v>0</v>
      </c>
      <c r="E5" s="0" t="n">
        <f aca="false">IF(AND(E2&gt;=Ipotesi!$F$34,E3=1),MIN(Ipotesi!$F$35,D5+Ipotesi!$F$36),D5)</f>
        <v>0</v>
      </c>
      <c r="F5" s="0" t="n">
        <f aca="false">IF(AND(F2&gt;=Ipotesi!$F$34,F3=1),MIN(Ipotesi!$F$35,E5+Ipotesi!$F$36),E5)</f>
        <v>0</v>
      </c>
      <c r="G5" s="0" t="n">
        <f aca="false">IF(AND(G2&gt;=Ipotesi!$F$34,G3=1),MIN(Ipotesi!$F$35,F5+Ipotesi!$F$36),F5)</f>
        <v>0</v>
      </c>
      <c r="H5" s="0" t="n">
        <f aca="false">IF(AND(H2&gt;=Ipotesi!$F$34,H3=1),MIN(Ipotesi!$F$35,G5+Ipotesi!$F$36),G5)</f>
        <v>0</v>
      </c>
      <c r="I5" s="0" t="n">
        <f aca="false">IF(AND(I2&gt;=Ipotesi!$F$34,I3=1),MIN(Ipotesi!$F$35,H5+Ipotesi!$F$36),H5)</f>
        <v>0</v>
      </c>
      <c r="J5" s="0" t="n">
        <f aca="false">IF(AND(J2&gt;=Ipotesi!$F$34,J3=1),MIN(Ipotesi!$F$35,I5+Ipotesi!$F$36),I5)</f>
        <v>0.6</v>
      </c>
      <c r="K5" s="0" t="n">
        <f aca="false">IF(AND(K2&gt;=Ipotesi!$F$34,K3=1),MIN(Ipotesi!$F$35,J5+Ipotesi!$F$36),J5)</f>
        <v>1.2</v>
      </c>
      <c r="L5" s="0" t="n">
        <f aca="false">IF(AND(L2&gt;=Ipotesi!$F$34,L3=1),MIN(Ipotesi!$F$35,K5+Ipotesi!$F$36),K5)</f>
        <v>1.8</v>
      </c>
      <c r="M5" s="0" t="n">
        <f aca="false">IF(AND(M2&gt;=Ipotesi!$F$34,M3=1),MIN(Ipotesi!$F$35,L5+Ipotesi!$F$36),L5)</f>
        <v>2.4</v>
      </c>
      <c r="N5" s="0" t="n">
        <f aca="false">IF(AND(N2&gt;=Ipotesi!$F$34,N3=1),MIN(Ipotesi!$F$35,M5+Ipotesi!$F$36),M5)</f>
        <v>3</v>
      </c>
      <c r="O5" s="0" t="n">
        <f aca="false">IF(AND(O2&gt;=Ipotesi!$F$34,O3=1),MIN(Ipotesi!$F$35,N5+Ipotesi!$F$36),N5)</f>
        <v>3.6</v>
      </c>
      <c r="P5" s="0" t="n">
        <f aca="false">IF(AND(P2&gt;=Ipotesi!$F$34,P3=1),MIN(Ipotesi!$F$35,O5+Ipotesi!$F$36),O5)</f>
        <v>4.2</v>
      </c>
      <c r="Q5" s="0" t="n">
        <f aca="false">IF(AND(Q2&gt;=Ipotesi!$F$34,Q3=1),MIN(Ipotesi!$F$35,P5+Ipotesi!$F$36),P5)</f>
        <v>4.8</v>
      </c>
      <c r="R5" s="0" t="n">
        <f aca="false">IF(AND(R2&gt;=Ipotesi!$F$34,R3=1),MIN(Ipotesi!$F$35,Q5+Ipotesi!$F$36),Q5)</f>
        <v>5.4</v>
      </c>
      <c r="S5" s="0" t="n">
        <f aca="false">IF(AND(S2&gt;=Ipotesi!$F$34,S3=1),MIN(Ipotesi!$F$35,R5+Ipotesi!$F$36),R5)</f>
        <v>6</v>
      </c>
      <c r="T5" s="0" t="n">
        <f aca="false">IF(AND(T2&gt;=Ipotesi!$F$34,T3=1),MIN(Ipotesi!$F$35,S5+Ipotesi!$F$36),S5)</f>
        <v>6.6</v>
      </c>
      <c r="U5" s="0" t="n">
        <f aca="false">IF(AND(U2&gt;=Ipotesi!$F$34,U3=1),MIN(Ipotesi!$F$35,T5+Ipotesi!$F$36),T5)</f>
        <v>7.2</v>
      </c>
      <c r="V5" s="0" t="n">
        <f aca="false">IF(AND(V2&gt;=Ipotesi!$F$34,V3=1),MIN(Ipotesi!$F$35,U5+Ipotesi!$F$36),U5)</f>
        <v>7.8</v>
      </c>
      <c r="W5" s="0" t="n">
        <f aca="false">IF(AND(W2&gt;=Ipotesi!$F$34,W3=1),MIN(Ipotesi!$F$35,V5+Ipotesi!$F$36),V5)</f>
        <v>8.4</v>
      </c>
      <c r="X5" s="0" t="n">
        <f aca="false">IF(AND(X2&gt;=Ipotesi!$F$34,X3=1),MIN(Ipotesi!$F$35,W5+Ipotesi!$F$36),W5)</f>
        <v>9</v>
      </c>
      <c r="Y5" s="0" t="n">
        <f aca="false">IF(AND(Y2&gt;=Ipotesi!$F$34,Y3=1),MIN(Ipotesi!$F$35,X5+Ipotesi!$F$36),X5)</f>
        <v>9</v>
      </c>
      <c r="Z5" s="0" t="n">
        <f aca="false">IF(AND(Z2&gt;=Ipotesi!$F$34,Z3=1),MIN(Ipotesi!$F$35,Y5+Ipotesi!$F$36),Y5)</f>
        <v>9</v>
      </c>
      <c r="AA5" s="0" t="n">
        <f aca="false">IF(AND(AA2&gt;=Ipotesi!$F$34,AA3=1),MIN(Ipotesi!$F$35,Z5+Ipotesi!$F$36),Z5)</f>
        <v>9</v>
      </c>
      <c r="AB5" s="0" t="n">
        <f aca="false">IF(AND(AB2&gt;=Ipotesi!$F$34,AB3=1),MIN(Ipotesi!$F$35,AA5+Ipotesi!$F$36),AA5)</f>
        <v>9</v>
      </c>
      <c r="AC5" s="0" t="n">
        <f aca="false">IF(AND(AC2&gt;=Ipotesi!$F$34,AC3=1),MIN(Ipotesi!$F$35,AB5+Ipotesi!$F$36),AB5)</f>
        <v>9</v>
      </c>
      <c r="AD5" s="0" t="n">
        <f aca="false">IF(AND(AD2&gt;=Ipotesi!$F$34,AD3=1),MIN(Ipotesi!$F$35,AC5+Ipotesi!$F$36),AC5)</f>
        <v>9</v>
      </c>
      <c r="AE5" s="0" t="n">
        <f aca="false">IF(AND(AE2&gt;=Ipotesi!$F$34,AE3=1),MIN(Ipotesi!$F$35,AD5+Ipotesi!$F$36),AD5)</f>
        <v>9</v>
      </c>
      <c r="AF5" s="0" t="n">
        <f aca="false">IF(AND(AF2&gt;=Ipotesi!$F$34,AF3=1),MIN(Ipotesi!$F$35,AE5+Ipotesi!$F$36),AE5)</f>
        <v>9</v>
      </c>
      <c r="AG5" s="0" t="n">
        <f aca="false">IF(AND(AG2&gt;=Ipotesi!$F$34,AG3=1),MIN(Ipotesi!$F$35,AF5+Ipotesi!$F$36),AF5)</f>
        <v>9</v>
      </c>
      <c r="AH5" s="0" t="n">
        <f aca="false">IF(AND(AH2&gt;=Ipotesi!$F$34,AH3=1),MIN(Ipotesi!$F$35,AG5+Ipotesi!$F$36),AG5)</f>
        <v>9</v>
      </c>
      <c r="AI5" s="0" t="n">
        <f aca="false">IF(AND(AI2&gt;=Ipotesi!$F$34,AI3=1),MIN(Ipotesi!$F$35,AH5+Ipotesi!$F$36),AH5)</f>
        <v>9</v>
      </c>
      <c r="AJ5" s="0" t="n">
        <f aca="false">IF(AND(AJ2&gt;=Ipotesi!$F$34,AJ3=1),MIN(Ipotesi!$F$35,AI5+Ipotesi!$F$36),AI5)</f>
        <v>9</v>
      </c>
      <c r="AK5" s="0" t="n">
        <f aca="false">IF(AND(AK2&gt;=Ipotesi!$F$34,AK3=1),MIN(Ipotesi!$F$35,AJ5+Ipotesi!$F$36),AJ5)</f>
        <v>9</v>
      </c>
    </row>
    <row r="6" customFormat="false" ht="15" hidden="false" customHeight="false" outlineLevel="0" collapsed="false">
      <c r="A6" s="0" t="s">
        <v>86</v>
      </c>
      <c r="B6" s="0" t="n">
        <f aca="false">IF(AND(B2&gt;=Ipotesi!$F$37,B3=1),0*(1-Ipotesi!$F$40)+Ipotesi!$F$38,0)</f>
        <v>0</v>
      </c>
      <c r="C6" s="0" t="n">
        <f aca="false">IF(AND(C2&gt;=Ipotesi!$F$37,C3=1),B6*(1-Ipotesi!$F$40)+Ipotesi!$F$38,B6)</f>
        <v>0</v>
      </c>
      <c r="D6" s="0" t="n">
        <f aca="false">IF(AND(D2&gt;=Ipotesi!$F$37,D3=1),C6*(1-Ipotesi!$F$40)+Ipotesi!$F$38,C6)</f>
        <v>0</v>
      </c>
      <c r="E6" s="0" t="n">
        <f aca="false">IF(AND(E2&gt;=Ipotesi!$F$37,E3=1),D6*(1-Ipotesi!$F$40)+Ipotesi!$F$38,D6)</f>
        <v>0</v>
      </c>
      <c r="F6" s="0" t="n">
        <f aca="false">IF(AND(F2&gt;=Ipotesi!$F$37,F3=1),E6*(1-Ipotesi!$F$40)+Ipotesi!$F$38,E6)</f>
        <v>0</v>
      </c>
      <c r="G6" s="0" t="n">
        <f aca="false">IF(AND(G2&gt;=Ipotesi!$F$37,G3=1),F6*(1-Ipotesi!$F$40)+Ipotesi!$F$38,F6)</f>
        <v>0</v>
      </c>
      <c r="H6" s="0" t="n">
        <f aca="false">IF(AND(H2&gt;=Ipotesi!$F$37,H3=1),G6*(1-Ipotesi!$F$40)+Ipotesi!$F$38,G6)</f>
        <v>0</v>
      </c>
      <c r="I6" s="0" t="n">
        <f aca="false">IF(AND(I2&gt;=Ipotesi!$F$37,I3=1),H6*(1-Ipotesi!$F$40)+Ipotesi!$F$38,H6)</f>
        <v>0</v>
      </c>
      <c r="J6" s="0" t="n">
        <f aca="false">IF(AND(J2&gt;=Ipotesi!$F$37,J3=1),I6*(1-Ipotesi!$F$40)+Ipotesi!$F$38,I6)</f>
        <v>0</v>
      </c>
      <c r="K6" s="0" t="n">
        <f aca="false">IF(AND(K2&gt;=Ipotesi!$F$37,K3=1),J6*(1-Ipotesi!$F$40)+Ipotesi!$F$38,J6)</f>
        <v>0</v>
      </c>
      <c r="L6" s="0" t="n">
        <f aca="false">IF(AND(L2&gt;=Ipotesi!$F$37,L3=1),K6*(1-Ipotesi!$F$40)+Ipotesi!$F$38,K6)</f>
        <v>0</v>
      </c>
      <c r="M6" s="0" t="n">
        <f aca="false">IF(AND(M2&gt;=Ipotesi!$F$37,M3=1),L6*(1-Ipotesi!$F$40)+Ipotesi!$F$38,L6)</f>
        <v>0</v>
      </c>
      <c r="N6" s="0" t="n">
        <f aca="false">IF(AND(N2&gt;=Ipotesi!$F$37,N3=1),M6*(1-Ipotesi!$F$40)+Ipotesi!$F$38,M6)</f>
        <v>0</v>
      </c>
      <c r="O6" s="0" t="n">
        <f aca="false">IF(AND(O2&gt;=Ipotesi!$F$37,O3=1),N6*(1-Ipotesi!$F$40)+Ipotesi!$F$38,N6)</f>
        <v>0</v>
      </c>
      <c r="P6" s="0" t="n">
        <f aca="false">IF(AND(P2&gt;=Ipotesi!$F$37,P3=1),O6*(1-Ipotesi!$F$40)+Ipotesi!$F$38,O6)</f>
        <v>0</v>
      </c>
      <c r="Q6" s="0" t="n">
        <f aca="false">IF(AND(Q2&gt;=Ipotesi!$F$37,Q3=1),P6*(1-Ipotesi!$F$40)+Ipotesi!$F$38,P6)</f>
        <v>0</v>
      </c>
      <c r="R6" s="0" t="n">
        <f aca="false">IF(AND(R2&gt;=Ipotesi!$F$37,R3=1),Q6*(1-Ipotesi!$F$40)+Ipotesi!$F$38,Q6)</f>
        <v>0</v>
      </c>
      <c r="S6" s="0" t="n">
        <f aca="false">IF(AND(S2&gt;=Ipotesi!$F$37,S3=1),R6*(1-Ipotesi!$F$40)+Ipotesi!$F$38,R6)</f>
        <v>0</v>
      </c>
      <c r="T6" s="0" t="n">
        <f aca="false">IF(AND(T2&gt;=Ipotesi!$F$37,T3=1),S6*(1-Ipotesi!$F$40)+Ipotesi!$F$38,S6)</f>
        <v>0</v>
      </c>
      <c r="U6" s="0" t="n">
        <f aca="false">IF(AND(U2&gt;=Ipotesi!$F$37,U3=1),T6*(1-Ipotesi!$F$40)+Ipotesi!$F$38,T6)</f>
        <v>0</v>
      </c>
      <c r="V6" s="0" t="n">
        <f aca="false">IF(AND(V2&gt;=Ipotesi!$F$37,V3=1),U6*(1-Ipotesi!$F$40)+Ipotesi!$F$38,U6)</f>
        <v>0</v>
      </c>
      <c r="W6" s="0" t="n">
        <f aca="false">IF(AND(W2&gt;=Ipotesi!$F$37,W3=1),V6*(1-Ipotesi!$F$40)+Ipotesi!$F$38,V6)</f>
        <v>0</v>
      </c>
      <c r="X6" s="0" t="n">
        <f aca="false">IF(AND(X2&gt;=Ipotesi!$F$37,X3=1),W6*(1-Ipotesi!$F$40)+Ipotesi!$F$38,W6)</f>
        <v>0</v>
      </c>
      <c r="Y6" s="0" t="n">
        <f aca="false">IF(AND(Y2&gt;=Ipotesi!$F$37,Y3=1),X6*(1-Ipotesi!$F$40)+Ipotesi!$F$38,X6)</f>
        <v>0</v>
      </c>
      <c r="Z6" s="0" t="n">
        <f aca="false">IF(AND(Z2&gt;=Ipotesi!$F$37,Z3=1),Y6*(1-Ipotesi!$F$40)+Ipotesi!$F$38,Y6)</f>
        <v>1</v>
      </c>
      <c r="AA6" s="0" t="n">
        <f aca="false">IF(AND(AA2&gt;=Ipotesi!$F$37,AA3=1),Z6*(1-Ipotesi!$F$40)+Ipotesi!$F$38,Z6)</f>
        <v>1.99</v>
      </c>
      <c r="AB6" s="0" t="n">
        <f aca="false">IF(AND(AB2&gt;=Ipotesi!$F$37,AB3=1),AA6*(1-Ipotesi!$F$40)+Ipotesi!$F$38,AA6)</f>
        <v>2.9701</v>
      </c>
      <c r="AC6" s="0" t="n">
        <f aca="false">IF(AND(AC2&gt;=Ipotesi!$F$37,AC3=1),AB6*(1-Ipotesi!$F$40)+Ipotesi!$F$38,AB6)</f>
        <v>3.940399</v>
      </c>
      <c r="AD6" s="0" t="n">
        <f aca="false">IF(AND(AD2&gt;=Ipotesi!$F$37,AD3=1),AC6*(1-Ipotesi!$F$40)+Ipotesi!$F$38,AC6)</f>
        <v>4.90099501</v>
      </c>
      <c r="AE6" s="0" t="n">
        <f aca="false">IF(AND(AE2&gt;=Ipotesi!$F$37,AE3=1),AD6*(1-Ipotesi!$F$40)+Ipotesi!$F$38,AD6)</f>
        <v>5.8519850599</v>
      </c>
      <c r="AF6" s="0" t="n">
        <f aca="false">IF(AND(AF2&gt;=Ipotesi!$F$37,AF3=1),AE6*(1-Ipotesi!$F$40)+Ipotesi!$F$38,AE6)</f>
        <v>6.793465209301</v>
      </c>
      <c r="AG6" s="0" t="n">
        <f aca="false">IF(AND(AG2&gt;=Ipotesi!$F$37,AG3=1),AF6*(1-Ipotesi!$F$40)+Ipotesi!$F$38,AF6)</f>
        <v>7.72553055720799</v>
      </c>
      <c r="AH6" s="0" t="n">
        <f aca="false">IF(AND(AH2&gt;=Ipotesi!$F$37,AH3=1),AG6*(1-Ipotesi!$F$40)+Ipotesi!$F$38,AG6)</f>
        <v>8.64827525163591</v>
      </c>
      <c r="AI6" s="0" t="n">
        <f aca="false">IF(AND(AI2&gt;=Ipotesi!$F$37,AI3=1),AH6*(1-Ipotesi!$F$40)+Ipotesi!$F$38,AH6)</f>
        <v>9.56179249911955</v>
      </c>
      <c r="AJ6" s="0" t="n">
        <f aca="false">IF(AND(AJ2&gt;=Ipotesi!$F$37,AJ3=1),AI6*(1-Ipotesi!$F$40)+Ipotesi!$F$38,AI6)</f>
        <v>10.4661745741284</v>
      </c>
      <c r="AK6" s="0" t="n">
        <f aca="false">IF(AND(AK2&gt;=Ipotesi!$F$37,AK3=1),AJ6*(1-Ipotesi!$F$40)+Ipotesi!$F$38,AJ6)</f>
        <v>11.3615128283871</v>
      </c>
    </row>
    <row r="7" customFormat="false" ht="15" hidden="false" customHeight="false" outlineLevel="0" collapsed="false">
      <c r="A7" s="0" t="s">
        <v>87</v>
      </c>
      <c r="B7" s="0" t="n">
        <f aca="false">IF(B2&gt;=Ipotesi!$F$41,0*(1-Ipotesi!$F$43)+Ipotesi!$F$42,0)</f>
        <v>0</v>
      </c>
      <c r="C7" s="0" t="n">
        <f aca="false">IF(C2&gt;=Ipotesi!$F$41,B7*(1-Ipotesi!$F$43)+Ipotesi!$F$42,B7)</f>
        <v>0</v>
      </c>
      <c r="D7" s="0" t="n">
        <f aca="false">IF(D2&gt;=Ipotesi!$F$41,C7*(1-Ipotesi!$F$43)+Ipotesi!$F$42,C7)</f>
        <v>0</v>
      </c>
      <c r="E7" s="0" t="n">
        <f aca="false">IF(E2&gt;=Ipotesi!$F$41,D7*(1-Ipotesi!$F$43)+Ipotesi!$F$42,D7)</f>
        <v>0</v>
      </c>
      <c r="F7" s="0" t="n">
        <f aca="false">IF(F2&gt;=Ipotesi!$F$41,E7*(1-Ipotesi!$F$43)+Ipotesi!$F$42,E7)</f>
        <v>0</v>
      </c>
      <c r="G7" s="0" t="n">
        <f aca="false">IF(G2&gt;=Ipotesi!$F$41,F7*(1-Ipotesi!$F$43)+Ipotesi!$F$42,F7)</f>
        <v>0</v>
      </c>
      <c r="H7" s="0" t="n">
        <f aca="false">IF(H2&gt;=Ipotesi!$F$41,G7*(1-Ipotesi!$F$43)+Ipotesi!$F$42,G7)</f>
        <v>0</v>
      </c>
      <c r="I7" s="0" t="n">
        <f aca="false">IF(I2&gt;=Ipotesi!$F$41,H7*(1-Ipotesi!$F$43)+Ipotesi!$F$42,H7)</f>
        <v>0</v>
      </c>
      <c r="J7" s="0" t="n">
        <f aca="false">IF(J2&gt;=Ipotesi!$F$41,I7*(1-Ipotesi!$F$43)+Ipotesi!$F$42,I7)</f>
        <v>0</v>
      </c>
      <c r="K7" s="0" t="n">
        <f aca="false">IF(K2&gt;=Ipotesi!$F$41,J7*(1-Ipotesi!$F$43)+Ipotesi!$F$42,J7)</f>
        <v>6</v>
      </c>
      <c r="L7" s="0" t="n">
        <f aca="false">IF(L2&gt;=Ipotesi!$F$41,K7*(1-Ipotesi!$F$43)+Ipotesi!$F$42,K7)</f>
        <v>11.82</v>
      </c>
      <c r="M7" s="0" t="n">
        <f aca="false">IF(M2&gt;=Ipotesi!$F$41,L7*(1-Ipotesi!$F$43)+Ipotesi!$F$42,L7)</f>
        <v>17.4654</v>
      </c>
      <c r="N7" s="0" t="n">
        <f aca="false">IF(N2&gt;=Ipotesi!$F$41,M7*(1-Ipotesi!$F$43)+Ipotesi!$F$42,M7)</f>
        <v>22.941438</v>
      </c>
      <c r="O7" s="0" t="n">
        <f aca="false">IF(O2&gt;=Ipotesi!$F$41,N7*(1-Ipotesi!$F$43)+Ipotesi!$F$42,N7)</f>
        <v>28.25319486</v>
      </c>
      <c r="P7" s="0" t="n">
        <f aca="false">IF(P2&gt;=Ipotesi!$F$41,O7*(1-Ipotesi!$F$43)+Ipotesi!$F$42,O7)</f>
        <v>33.4055990142</v>
      </c>
      <c r="Q7" s="0" t="n">
        <f aca="false">IF(Q2&gt;=Ipotesi!$F$41,P7*(1-Ipotesi!$F$43)+Ipotesi!$F$42,P7)</f>
        <v>38.403431043774</v>
      </c>
      <c r="R7" s="0" t="n">
        <f aca="false">IF(R2&gt;=Ipotesi!$F$41,Q7*(1-Ipotesi!$F$43)+Ipotesi!$F$42,Q7)</f>
        <v>43.2513281124608</v>
      </c>
      <c r="S7" s="0" t="n">
        <f aca="false">IF(S2&gt;=Ipotesi!$F$41,R7*(1-Ipotesi!$F$43)+Ipotesi!$F$42,R7)</f>
        <v>47.953788269087</v>
      </c>
      <c r="T7" s="0" t="n">
        <f aca="false">IF(T2&gt;=Ipotesi!$F$41,S7*(1-Ipotesi!$F$43)+Ipotesi!$F$42,S7)</f>
        <v>52.5151746210143</v>
      </c>
      <c r="U7" s="0" t="n">
        <f aca="false">IF(U2&gt;=Ipotesi!$F$41,T7*(1-Ipotesi!$F$43)+Ipotesi!$F$42,T7)</f>
        <v>56.9397193823839</v>
      </c>
      <c r="V7" s="0" t="n">
        <f aca="false">IF(V2&gt;=Ipotesi!$F$41,U7*(1-Ipotesi!$F$43)+Ipotesi!$F$42,U7)</f>
        <v>61.2315278009124</v>
      </c>
      <c r="W7" s="0" t="n">
        <f aca="false">IF(W2&gt;=Ipotesi!$F$41,V7*(1-Ipotesi!$F$43)+Ipotesi!$F$42,V7)</f>
        <v>65.394581966885</v>
      </c>
      <c r="X7" s="0" t="n">
        <f aca="false">IF(X2&gt;=Ipotesi!$F$41,W7*(1-Ipotesi!$F$43)+Ipotesi!$F$42,W7)</f>
        <v>69.4327445078785</v>
      </c>
      <c r="Y7" s="0" t="n">
        <f aca="false">IF(Y2&gt;=Ipotesi!$F$41,X7*(1-Ipotesi!$F$43)+Ipotesi!$F$42,X7)</f>
        <v>73.3497621726421</v>
      </c>
      <c r="Z7" s="0" t="n">
        <f aca="false">IF(Z2&gt;=Ipotesi!$F$41,Y7*(1-Ipotesi!$F$43)+Ipotesi!$F$42,Y7)</f>
        <v>77.1492693074628</v>
      </c>
      <c r="AA7" s="0" t="n">
        <f aca="false">IF(AA2&gt;=Ipotesi!$F$41,Z7*(1-Ipotesi!$F$43)+Ipotesi!$F$42,Z7)</f>
        <v>80.8347912282389</v>
      </c>
      <c r="AB7" s="0" t="n">
        <f aca="false">IF(AB2&gt;=Ipotesi!$F$41,AA7*(1-Ipotesi!$F$43)+Ipotesi!$F$42,AA7)</f>
        <v>84.4097474913918</v>
      </c>
      <c r="AC7" s="0" t="n">
        <f aca="false">IF(AC2&gt;=Ipotesi!$F$41,AB7*(1-Ipotesi!$F$43)+Ipotesi!$F$42,AB7)</f>
        <v>87.87745506665</v>
      </c>
      <c r="AD7" s="0" t="n">
        <f aca="false">IF(AD2&gt;=Ipotesi!$F$41,AC7*(1-Ipotesi!$F$43)+Ipotesi!$F$42,AC7)</f>
        <v>91.2411314146505</v>
      </c>
      <c r="AE7" s="0" t="n">
        <f aca="false">IF(AE2&gt;=Ipotesi!$F$41,AD7*(1-Ipotesi!$F$43)+Ipotesi!$F$42,AD7)</f>
        <v>94.503897472211</v>
      </c>
      <c r="AF7" s="0" t="n">
        <f aca="false">IF(AF2&gt;=Ipotesi!$F$41,AE7*(1-Ipotesi!$F$43)+Ipotesi!$F$42,AE7)</f>
        <v>97.6687805480447</v>
      </c>
      <c r="AG7" s="0" t="n">
        <f aca="false">IF(AG2&gt;=Ipotesi!$F$41,AF7*(1-Ipotesi!$F$43)+Ipotesi!$F$42,AF7)</f>
        <v>100.738717131603</v>
      </c>
      <c r="AH7" s="0" t="n">
        <f aca="false">IF(AH2&gt;=Ipotesi!$F$41,AG7*(1-Ipotesi!$F$43)+Ipotesi!$F$42,AG7)</f>
        <v>103.716555617655</v>
      </c>
      <c r="AI7" s="0" t="n">
        <f aca="false">IF(AI2&gt;=Ipotesi!$F$41,AH7*(1-Ipotesi!$F$43)+Ipotesi!$F$42,AH7)</f>
        <v>106.605058949126</v>
      </c>
      <c r="AJ7" s="0" t="n">
        <f aca="false">IF(AJ2&gt;=Ipotesi!$F$41,AI7*(1-Ipotesi!$F$43)+Ipotesi!$F$42,AI7)</f>
        <v>109.406907180652</v>
      </c>
      <c r="AK7" s="0" t="n">
        <f aca="false">IF(AK2&gt;=Ipotesi!$F$41,AJ7*(1-Ipotesi!$F$43)+Ipotesi!$F$42,AJ7)</f>
        <v>112.124699965232</v>
      </c>
    </row>
    <row r="8" customFormat="false" ht="15" hidden="false" customHeight="false" outlineLevel="0" collapsed="false">
      <c r="A8" s="0" t="s">
        <v>88</v>
      </c>
      <c r="B8" s="5" t="n">
        <f aca="false">B5*Ipotesi!$F$39</f>
        <v>0</v>
      </c>
      <c r="C8" s="5" t="n">
        <f aca="false">C5*Ipotesi!$F$39</f>
        <v>0</v>
      </c>
      <c r="D8" s="5" t="n">
        <f aca="false">D5*Ipotesi!$F$39</f>
        <v>0</v>
      </c>
      <c r="E8" s="5" t="n">
        <f aca="false">E5*Ipotesi!$F$39</f>
        <v>0</v>
      </c>
      <c r="F8" s="5" t="n">
        <f aca="false">F5*Ipotesi!$F$39</f>
        <v>0</v>
      </c>
      <c r="G8" s="5" t="n">
        <f aca="false">G5*Ipotesi!$F$39</f>
        <v>0</v>
      </c>
      <c r="H8" s="5" t="n">
        <f aca="false">H5*Ipotesi!$F$39</f>
        <v>0</v>
      </c>
      <c r="I8" s="5" t="n">
        <f aca="false">I5*Ipotesi!$F$39</f>
        <v>0</v>
      </c>
      <c r="J8" s="5" t="n">
        <f aca="false">J5*Ipotesi!$F$39</f>
        <v>24</v>
      </c>
      <c r="K8" s="5" t="n">
        <f aca="false">K5*Ipotesi!$F$39</f>
        <v>48</v>
      </c>
      <c r="L8" s="5" t="n">
        <f aca="false">L5*Ipotesi!$F$39</f>
        <v>72</v>
      </c>
      <c r="M8" s="5" t="n">
        <f aca="false">M5*Ipotesi!$F$39</f>
        <v>96</v>
      </c>
      <c r="N8" s="5" t="n">
        <f aca="false">N5*Ipotesi!$F$39</f>
        <v>120</v>
      </c>
      <c r="O8" s="5" t="n">
        <f aca="false">O5*Ipotesi!$F$39</f>
        <v>144</v>
      </c>
      <c r="P8" s="5" t="n">
        <f aca="false">P5*Ipotesi!$F$39</f>
        <v>168</v>
      </c>
      <c r="Q8" s="5" t="n">
        <f aca="false">Q5*Ipotesi!$F$39</f>
        <v>192</v>
      </c>
      <c r="R8" s="5" t="n">
        <f aca="false">R5*Ipotesi!$F$39</f>
        <v>216</v>
      </c>
      <c r="S8" s="5" t="n">
        <f aca="false">S5*Ipotesi!$F$39</f>
        <v>240</v>
      </c>
      <c r="T8" s="5" t="n">
        <f aca="false">T5*Ipotesi!$F$39</f>
        <v>264</v>
      </c>
      <c r="U8" s="5" t="n">
        <f aca="false">U5*Ipotesi!$F$39</f>
        <v>288</v>
      </c>
      <c r="V8" s="5" t="n">
        <f aca="false">V5*Ipotesi!$F$39</f>
        <v>312</v>
      </c>
      <c r="W8" s="5" t="n">
        <f aca="false">W5*Ipotesi!$F$39</f>
        <v>336</v>
      </c>
      <c r="X8" s="5" t="n">
        <f aca="false">X5*Ipotesi!$F$39</f>
        <v>360</v>
      </c>
      <c r="Y8" s="5" t="n">
        <f aca="false">Y5*Ipotesi!$F$39</f>
        <v>360</v>
      </c>
      <c r="Z8" s="5" t="n">
        <f aca="false">Z5*Ipotesi!$F$39</f>
        <v>360</v>
      </c>
      <c r="AA8" s="5" t="n">
        <f aca="false">AA5*Ipotesi!$F$39</f>
        <v>360</v>
      </c>
      <c r="AB8" s="5" t="n">
        <f aca="false">AB5*Ipotesi!$F$39</f>
        <v>360</v>
      </c>
      <c r="AC8" s="5" t="n">
        <f aca="false">AC5*Ipotesi!$F$39</f>
        <v>360</v>
      </c>
      <c r="AD8" s="5" t="n">
        <f aca="false">AD5*Ipotesi!$F$39</f>
        <v>360</v>
      </c>
      <c r="AE8" s="5" t="n">
        <f aca="false">AE5*Ipotesi!$F$39</f>
        <v>360</v>
      </c>
      <c r="AF8" s="5" t="n">
        <f aca="false">AF5*Ipotesi!$F$39</f>
        <v>360</v>
      </c>
      <c r="AG8" s="5" t="n">
        <f aca="false">AG5*Ipotesi!$F$39</f>
        <v>360</v>
      </c>
      <c r="AH8" s="5" t="n">
        <f aca="false">AH5*Ipotesi!$F$39</f>
        <v>360</v>
      </c>
      <c r="AI8" s="5" t="n">
        <f aca="false">AI5*Ipotesi!$F$39</f>
        <v>360</v>
      </c>
      <c r="AJ8" s="5" t="n">
        <f aca="false">AJ5*Ipotesi!$F$39</f>
        <v>360</v>
      </c>
      <c r="AK8" s="5" t="n">
        <f aca="false">AK5*Ipotesi!$F$39</f>
        <v>360</v>
      </c>
    </row>
    <row r="9" customFormat="false" ht="15" hidden="false" customHeight="false" outlineLevel="0" collapsed="false">
      <c r="A9" s="0" t="s">
        <v>89</v>
      </c>
      <c r="B9" s="5" t="n">
        <f aca="false">B6*Ipotesi!$F$39</f>
        <v>0</v>
      </c>
      <c r="C9" s="5" t="n">
        <f aca="false">C6*Ipotesi!$F$39</f>
        <v>0</v>
      </c>
      <c r="D9" s="5" t="n">
        <f aca="false">D6*Ipotesi!$F$39</f>
        <v>0</v>
      </c>
      <c r="E9" s="5" t="n">
        <f aca="false">E6*Ipotesi!$F$39</f>
        <v>0</v>
      </c>
      <c r="F9" s="5" t="n">
        <f aca="false">F6*Ipotesi!$F$39</f>
        <v>0</v>
      </c>
      <c r="G9" s="5" t="n">
        <f aca="false">G6*Ipotesi!$F$39</f>
        <v>0</v>
      </c>
      <c r="H9" s="5" t="n">
        <f aca="false">H6*Ipotesi!$F$39</f>
        <v>0</v>
      </c>
      <c r="I9" s="5" t="n">
        <f aca="false">I6*Ipotesi!$F$39</f>
        <v>0</v>
      </c>
      <c r="J9" s="5" t="n">
        <f aca="false">J6*Ipotesi!$F$39</f>
        <v>0</v>
      </c>
      <c r="K9" s="5" t="n">
        <f aca="false">K6*Ipotesi!$F$39</f>
        <v>0</v>
      </c>
      <c r="L9" s="5" t="n">
        <f aca="false">L6*Ipotesi!$F$39</f>
        <v>0</v>
      </c>
      <c r="M9" s="5" t="n">
        <f aca="false">M6*Ipotesi!$F$39</f>
        <v>0</v>
      </c>
      <c r="N9" s="5" t="n">
        <f aca="false">N6*Ipotesi!$F$39</f>
        <v>0</v>
      </c>
      <c r="O9" s="5" t="n">
        <f aca="false">O6*Ipotesi!$F$39</f>
        <v>0</v>
      </c>
      <c r="P9" s="5" t="n">
        <f aca="false">P6*Ipotesi!$F$39</f>
        <v>0</v>
      </c>
      <c r="Q9" s="5" t="n">
        <f aca="false">Q6*Ipotesi!$F$39</f>
        <v>0</v>
      </c>
      <c r="R9" s="5" t="n">
        <f aca="false">R6*Ipotesi!$F$39</f>
        <v>0</v>
      </c>
      <c r="S9" s="5" t="n">
        <f aca="false">S6*Ipotesi!$F$39</f>
        <v>0</v>
      </c>
      <c r="T9" s="5" t="n">
        <f aca="false">T6*Ipotesi!$F$39</f>
        <v>0</v>
      </c>
      <c r="U9" s="5" t="n">
        <f aca="false">U6*Ipotesi!$F$39</f>
        <v>0</v>
      </c>
      <c r="V9" s="5" t="n">
        <f aca="false">V6*Ipotesi!$F$39</f>
        <v>0</v>
      </c>
      <c r="W9" s="5" t="n">
        <f aca="false">W6*Ipotesi!$F$39</f>
        <v>0</v>
      </c>
      <c r="X9" s="5" t="n">
        <f aca="false">X6*Ipotesi!$F$39</f>
        <v>0</v>
      </c>
      <c r="Y9" s="5" t="n">
        <f aca="false">Y6*Ipotesi!$F$39</f>
        <v>0</v>
      </c>
      <c r="Z9" s="5" t="n">
        <f aca="false">Z6*Ipotesi!$F$39</f>
        <v>40</v>
      </c>
      <c r="AA9" s="5" t="n">
        <f aca="false">AA6*Ipotesi!$F$39</f>
        <v>79.6</v>
      </c>
      <c r="AB9" s="5" t="n">
        <f aca="false">AB6*Ipotesi!$F$39</f>
        <v>118.804</v>
      </c>
      <c r="AC9" s="5" t="n">
        <f aca="false">AC6*Ipotesi!$F$39</f>
        <v>157.61596</v>
      </c>
      <c r="AD9" s="5" t="n">
        <f aca="false">AD6*Ipotesi!$F$39</f>
        <v>196.0398004</v>
      </c>
      <c r="AE9" s="5" t="n">
        <f aca="false">AE6*Ipotesi!$F$39</f>
        <v>234.079402396</v>
      </c>
      <c r="AF9" s="5" t="n">
        <f aca="false">AF6*Ipotesi!$F$39</f>
        <v>271.73860837204</v>
      </c>
      <c r="AG9" s="5" t="n">
        <f aca="false">AG6*Ipotesi!$F$39</f>
        <v>309.02122228832</v>
      </c>
      <c r="AH9" s="5" t="n">
        <f aca="false">AH6*Ipotesi!$F$39</f>
        <v>345.931010065436</v>
      </c>
      <c r="AI9" s="5" t="n">
        <f aca="false">AI6*Ipotesi!$F$39</f>
        <v>382.471699964782</v>
      </c>
      <c r="AJ9" s="5" t="n">
        <f aca="false">AJ6*Ipotesi!$F$39</f>
        <v>418.646982965134</v>
      </c>
      <c r="AK9" s="5" t="n">
        <f aca="false">AK6*Ipotesi!$F$39</f>
        <v>454.460513135483</v>
      </c>
    </row>
    <row r="10" customFormat="false" ht="15" hidden="false" customHeight="false" outlineLevel="0" collapsed="false">
      <c r="A10" s="0" t="s">
        <v>90</v>
      </c>
      <c r="B10" s="5" t="n">
        <f aca="false">B4+B8+B9</f>
        <v>0</v>
      </c>
      <c r="C10" s="5" t="n">
        <f aca="false">C4+C8+C9</f>
        <v>0</v>
      </c>
      <c r="D10" s="5" t="n">
        <f aca="false">D4+D8+D9</f>
        <v>0</v>
      </c>
      <c r="E10" s="5" t="n">
        <f aca="false">E4+E8+E9</f>
        <v>0</v>
      </c>
      <c r="F10" s="5" t="n">
        <f aca="false">F4+F8+F9</f>
        <v>0</v>
      </c>
      <c r="G10" s="5" t="n">
        <f aca="false">G4+G8+G9</f>
        <v>0</v>
      </c>
      <c r="H10" s="5" t="n">
        <f aca="false">H4+H8+H9</f>
        <v>250</v>
      </c>
      <c r="I10" s="5" t="n">
        <f aca="false">I4+I8+I9</f>
        <v>250</v>
      </c>
      <c r="J10" s="5" t="n">
        <f aca="false">J4+J8+J9</f>
        <v>274</v>
      </c>
      <c r="K10" s="5" t="n">
        <f aca="false">K4+K8+K9</f>
        <v>298</v>
      </c>
      <c r="L10" s="5" t="n">
        <f aca="false">L4+L8+L9</f>
        <v>322</v>
      </c>
      <c r="M10" s="5" t="n">
        <f aca="false">M4+M8+M9</f>
        <v>346</v>
      </c>
      <c r="N10" s="5" t="n">
        <f aca="false">N4+N8+N9</f>
        <v>370</v>
      </c>
      <c r="O10" s="5" t="n">
        <f aca="false">O4+O8+O9</f>
        <v>394</v>
      </c>
      <c r="P10" s="5" t="n">
        <f aca="false">P4+P8+P9</f>
        <v>418</v>
      </c>
      <c r="Q10" s="5" t="n">
        <f aca="false">Q4+Q8+Q9</f>
        <v>442</v>
      </c>
      <c r="R10" s="5" t="n">
        <f aca="false">R4+R8+R9</f>
        <v>466</v>
      </c>
      <c r="S10" s="5" t="n">
        <f aca="false">S4+S8+S9</f>
        <v>490</v>
      </c>
      <c r="T10" s="5" t="n">
        <f aca="false">T4+T8+T9</f>
        <v>514</v>
      </c>
      <c r="U10" s="5" t="n">
        <f aca="false">U4+U8+U9</f>
        <v>538</v>
      </c>
      <c r="V10" s="5" t="n">
        <f aca="false">V4+V8+V9</f>
        <v>562</v>
      </c>
      <c r="W10" s="5" t="n">
        <f aca="false">W4+W8+W9</f>
        <v>586</v>
      </c>
      <c r="X10" s="5" t="n">
        <f aca="false">X4+X8+X9</f>
        <v>610</v>
      </c>
      <c r="Y10" s="5" t="n">
        <f aca="false">Y4+Y8+Y9</f>
        <v>610</v>
      </c>
      <c r="Z10" s="5" t="n">
        <f aca="false">Z4+Z8+Z9</f>
        <v>650</v>
      </c>
      <c r="AA10" s="5" t="n">
        <f aca="false">AA4+AA8+AA9</f>
        <v>689.6</v>
      </c>
      <c r="AB10" s="5" t="n">
        <f aca="false">AB4+AB8+AB9</f>
        <v>728.804</v>
      </c>
      <c r="AC10" s="5" t="n">
        <f aca="false">AC4+AC8+AC9</f>
        <v>767.61596</v>
      </c>
      <c r="AD10" s="5" t="n">
        <f aca="false">AD4+AD8+AD9</f>
        <v>806.0398004</v>
      </c>
      <c r="AE10" s="5" t="n">
        <f aca="false">AE4+AE8+AE9</f>
        <v>844.079402396</v>
      </c>
      <c r="AF10" s="5" t="n">
        <f aca="false">AF4+AF8+AF9</f>
        <v>881.73860837204</v>
      </c>
      <c r="AG10" s="5" t="n">
        <f aca="false">AG4+AG8+AG9</f>
        <v>919.02122228832</v>
      </c>
      <c r="AH10" s="5" t="n">
        <f aca="false">AH4+AH8+AH9</f>
        <v>955.931010065436</v>
      </c>
      <c r="AI10" s="5" t="n">
        <f aca="false">AI4+AI8+AI9</f>
        <v>992.471699964782</v>
      </c>
      <c r="AJ10" s="5" t="n">
        <f aca="false">AJ4+AJ8+AJ9</f>
        <v>1028.64698296513</v>
      </c>
      <c r="AK10" s="5" t="n">
        <f aca="false">AK4+AK8+AK9</f>
        <v>1064.46051313548</v>
      </c>
    </row>
    <row r="11" customFormat="false" ht="15" hidden="false" customHeight="false" outlineLevel="0" collapsed="false">
      <c r="A11" s="0" t="s">
        <v>91</v>
      </c>
      <c r="B11" s="5" t="n">
        <f aca="false">IF(Ipotesi!$F$39&lt;50,Ipotesi!$C$7,IF(Ipotesi!$F$39&lt;150,Ipotesi!$C$8,Ipotesi!$C$9))</f>
        <v>15</v>
      </c>
      <c r="C11" s="5" t="n">
        <f aca="false">IF(Ipotesi!$F$39&lt;50,Ipotesi!$C$7,IF(Ipotesi!$F$39&lt;150,Ipotesi!$C$8,Ipotesi!$C$9))</f>
        <v>15</v>
      </c>
      <c r="D11" s="5" t="n">
        <f aca="false">IF(Ipotesi!$F$39&lt;50,Ipotesi!$C$7,IF(Ipotesi!$F$39&lt;150,Ipotesi!$C$8,Ipotesi!$C$9))</f>
        <v>15</v>
      </c>
      <c r="E11" s="5" t="n">
        <f aca="false">IF(Ipotesi!$F$39&lt;50,Ipotesi!$C$7,IF(Ipotesi!$F$39&lt;150,Ipotesi!$C$8,Ipotesi!$C$9))</f>
        <v>15</v>
      </c>
      <c r="F11" s="5" t="n">
        <f aca="false">IF(Ipotesi!$F$39&lt;50,Ipotesi!$C$7,IF(Ipotesi!$F$39&lt;150,Ipotesi!$C$8,Ipotesi!$C$9))</f>
        <v>15</v>
      </c>
      <c r="G11" s="5" t="n">
        <f aca="false">IF(Ipotesi!$F$39&lt;50,Ipotesi!$C$7,IF(Ipotesi!$F$39&lt;150,Ipotesi!$C$8,Ipotesi!$C$9))</f>
        <v>15</v>
      </c>
      <c r="H11" s="5" t="n">
        <f aca="false">IF(Ipotesi!$F$39&lt;50,Ipotesi!$C$7,IF(Ipotesi!$F$39&lt;150,Ipotesi!$C$8,Ipotesi!$C$9))</f>
        <v>15</v>
      </c>
      <c r="I11" s="5" t="n">
        <f aca="false">IF(Ipotesi!$F$39&lt;50,Ipotesi!$C$7,IF(Ipotesi!$F$39&lt;150,Ipotesi!$C$8,Ipotesi!$C$9))</f>
        <v>15</v>
      </c>
      <c r="J11" s="5" t="n">
        <f aca="false">IF(Ipotesi!$F$39&lt;50,Ipotesi!$C$7,IF(Ipotesi!$F$39&lt;150,Ipotesi!$C$8,Ipotesi!$C$9))</f>
        <v>15</v>
      </c>
      <c r="K11" s="5" t="n">
        <f aca="false">IF(Ipotesi!$F$39&lt;50,Ipotesi!$C$7,IF(Ipotesi!$F$39&lt;150,Ipotesi!$C$8,Ipotesi!$C$9))</f>
        <v>15</v>
      </c>
      <c r="L11" s="5" t="n">
        <f aca="false">IF(Ipotesi!$F$39&lt;50,Ipotesi!$C$7,IF(Ipotesi!$F$39&lt;150,Ipotesi!$C$8,Ipotesi!$C$9))</f>
        <v>15</v>
      </c>
      <c r="M11" s="5" t="n">
        <f aca="false">IF(Ipotesi!$F$39&lt;50,Ipotesi!$C$7,IF(Ipotesi!$F$39&lt;150,Ipotesi!$C$8,Ipotesi!$C$9))</f>
        <v>15</v>
      </c>
      <c r="N11" s="5" t="n">
        <f aca="false">IF(Ipotesi!$F$39&lt;50,Ipotesi!$C$7,IF(Ipotesi!$F$39&lt;150,Ipotesi!$C$8,Ipotesi!$C$9))</f>
        <v>15</v>
      </c>
      <c r="O11" s="5" t="n">
        <f aca="false">IF(Ipotesi!$F$39&lt;50,Ipotesi!$C$7,IF(Ipotesi!$F$39&lt;150,Ipotesi!$C$8,Ipotesi!$C$9))</f>
        <v>15</v>
      </c>
      <c r="P11" s="5" t="n">
        <f aca="false">IF(Ipotesi!$F$39&lt;50,Ipotesi!$C$7,IF(Ipotesi!$F$39&lt;150,Ipotesi!$C$8,Ipotesi!$C$9))</f>
        <v>15</v>
      </c>
      <c r="Q11" s="5" t="n">
        <f aca="false">IF(Ipotesi!$F$39&lt;50,Ipotesi!$C$7,IF(Ipotesi!$F$39&lt;150,Ipotesi!$C$8,Ipotesi!$C$9))</f>
        <v>15</v>
      </c>
      <c r="R11" s="5" t="n">
        <f aca="false">IF(Ipotesi!$F$39&lt;50,Ipotesi!$C$7,IF(Ipotesi!$F$39&lt;150,Ipotesi!$C$8,Ipotesi!$C$9))</f>
        <v>15</v>
      </c>
      <c r="S11" s="5" t="n">
        <f aca="false">IF(Ipotesi!$F$39&lt;50,Ipotesi!$C$7,IF(Ipotesi!$F$39&lt;150,Ipotesi!$C$8,Ipotesi!$C$9))</f>
        <v>15</v>
      </c>
      <c r="T11" s="5" t="n">
        <f aca="false">IF(Ipotesi!$F$39&lt;50,Ipotesi!$C$7,IF(Ipotesi!$F$39&lt;150,Ipotesi!$C$8,Ipotesi!$C$9))</f>
        <v>15</v>
      </c>
      <c r="U11" s="5" t="n">
        <f aca="false">IF(Ipotesi!$F$39&lt;50,Ipotesi!$C$7,IF(Ipotesi!$F$39&lt;150,Ipotesi!$C$8,Ipotesi!$C$9))</f>
        <v>15</v>
      </c>
      <c r="V11" s="5" t="n">
        <f aca="false">IF(Ipotesi!$F$39&lt;50,Ipotesi!$C$7,IF(Ipotesi!$F$39&lt;150,Ipotesi!$C$8,Ipotesi!$C$9))</f>
        <v>15</v>
      </c>
      <c r="W11" s="5" t="n">
        <f aca="false">IF(Ipotesi!$F$39&lt;50,Ipotesi!$C$7,IF(Ipotesi!$F$39&lt;150,Ipotesi!$C$8,Ipotesi!$C$9))</f>
        <v>15</v>
      </c>
      <c r="X11" s="5" t="n">
        <f aca="false">IF(Ipotesi!$F$39&lt;50,Ipotesi!$C$7,IF(Ipotesi!$F$39&lt;150,Ipotesi!$C$8,Ipotesi!$C$9))</f>
        <v>15</v>
      </c>
      <c r="Y11" s="5" t="n">
        <f aca="false">IF(Ipotesi!$F$39&lt;50,Ipotesi!$C$7,IF(Ipotesi!$F$39&lt;150,Ipotesi!$C$8,Ipotesi!$C$9))</f>
        <v>15</v>
      </c>
      <c r="Z11" s="5" t="n">
        <f aca="false">IF(Ipotesi!$F$39&lt;50,Ipotesi!$C$7,IF(Ipotesi!$F$39&lt;150,Ipotesi!$C$8,Ipotesi!$C$9))</f>
        <v>15</v>
      </c>
      <c r="AA11" s="5" t="n">
        <f aca="false">IF(Ipotesi!$F$39&lt;50,Ipotesi!$C$7,IF(Ipotesi!$F$39&lt;150,Ipotesi!$C$8,Ipotesi!$C$9))</f>
        <v>15</v>
      </c>
      <c r="AB11" s="5" t="n">
        <f aca="false">IF(Ipotesi!$F$39&lt;50,Ipotesi!$C$7,IF(Ipotesi!$F$39&lt;150,Ipotesi!$C$8,Ipotesi!$C$9))</f>
        <v>15</v>
      </c>
      <c r="AC11" s="5" t="n">
        <f aca="false">IF(Ipotesi!$F$39&lt;50,Ipotesi!$C$7,IF(Ipotesi!$F$39&lt;150,Ipotesi!$C$8,Ipotesi!$C$9))</f>
        <v>15</v>
      </c>
      <c r="AD11" s="5" t="n">
        <f aca="false">IF(Ipotesi!$F$39&lt;50,Ipotesi!$C$7,IF(Ipotesi!$F$39&lt;150,Ipotesi!$C$8,Ipotesi!$C$9))</f>
        <v>15</v>
      </c>
      <c r="AE11" s="5" t="n">
        <f aca="false">IF(Ipotesi!$F$39&lt;50,Ipotesi!$C$7,IF(Ipotesi!$F$39&lt;150,Ipotesi!$C$8,Ipotesi!$C$9))</f>
        <v>15</v>
      </c>
      <c r="AF11" s="5" t="n">
        <f aca="false">IF(Ipotesi!$F$39&lt;50,Ipotesi!$C$7,IF(Ipotesi!$F$39&lt;150,Ipotesi!$C$8,Ipotesi!$C$9))</f>
        <v>15</v>
      </c>
      <c r="AG11" s="5" t="n">
        <f aca="false">IF(Ipotesi!$F$39&lt;50,Ipotesi!$C$7,IF(Ipotesi!$F$39&lt;150,Ipotesi!$C$8,Ipotesi!$C$9))</f>
        <v>15</v>
      </c>
      <c r="AH11" s="5" t="n">
        <f aca="false">IF(Ipotesi!$F$39&lt;50,Ipotesi!$C$7,IF(Ipotesi!$F$39&lt;150,Ipotesi!$C$8,Ipotesi!$C$9))</f>
        <v>15</v>
      </c>
      <c r="AI11" s="5" t="n">
        <f aca="false">IF(Ipotesi!$F$39&lt;50,Ipotesi!$C$7,IF(Ipotesi!$F$39&lt;150,Ipotesi!$C$8,Ipotesi!$C$9))</f>
        <v>15</v>
      </c>
      <c r="AJ11" s="5" t="n">
        <f aca="false">IF(Ipotesi!$F$39&lt;50,Ipotesi!$C$7,IF(Ipotesi!$F$39&lt;150,Ipotesi!$C$8,Ipotesi!$C$9))</f>
        <v>15</v>
      </c>
      <c r="AK11" s="5" t="n">
        <f aca="false">IF(Ipotesi!$F$39&lt;50,Ipotesi!$C$7,IF(Ipotesi!$F$39&lt;150,Ipotesi!$C$8,Ipotesi!$C$9))</f>
        <v>15</v>
      </c>
    </row>
    <row r="12" customFormat="false" ht="15" hidden="false" customHeight="false" outlineLevel="0" collapsed="false">
      <c r="A12" s="0" t="s">
        <v>92</v>
      </c>
      <c r="B12" s="5" t="n">
        <f aca="false">(B4+B8)*Ipotesi!$C$11+B9*B11</f>
        <v>0</v>
      </c>
      <c r="C12" s="5" t="n">
        <f aca="false">(C4+C8)*Ipotesi!$C$11+C9*C11</f>
        <v>0</v>
      </c>
      <c r="D12" s="5" t="n">
        <f aca="false">(D4+D8)*Ipotesi!$C$11+D9*D11</f>
        <v>0</v>
      </c>
      <c r="E12" s="5" t="n">
        <f aca="false">(E4+E8)*Ipotesi!$C$11+E9*E11</f>
        <v>0</v>
      </c>
      <c r="F12" s="5" t="n">
        <f aca="false">(F4+F8)*Ipotesi!$C$11+F9*F11</f>
        <v>0</v>
      </c>
      <c r="G12" s="5" t="n">
        <f aca="false">(G4+G8)*Ipotesi!$C$11+G9*G11</f>
        <v>0</v>
      </c>
      <c r="H12" s="5" t="n">
        <f aca="false">(H4+H8)*Ipotesi!$C$11+H9*H11</f>
        <v>1730</v>
      </c>
      <c r="I12" s="5" t="n">
        <f aca="false">(I4+I8)*Ipotesi!$C$11+I9*I11</f>
        <v>1730</v>
      </c>
      <c r="J12" s="5" t="n">
        <f aca="false">(J4+J8)*Ipotesi!$C$11+J9*J11</f>
        <v>1896.08</v>
      </c>
      <c r="K12" s="5" t="n">
        <f aca="false">(K4+K8)*Ipotesi!$C$11+K9*K11</f>
        <v>2062.16</v>
      </c>
      <c r="L12" s="5" t="n">
        <f aca="false">(L4+L8)*Ipotesi!$C$11+L9*L11</f>
        <v>2228.24</v>
      </c>
      <c r="M12" s="5" t="n">
        <f aca="false">(M4+M8)*Ipotesi!$C$11+M9*M11</f>
        <v>2394.32</v>
      </c>
      <c r="N12" s="5" t="n">
        <f aca="false">(N4+N8)*Ipotesi!$C$11+N9*N11</f>
        <v>2560.4</v>
      </c>
      <c r="O12" s="5" t="n">
        <f aca="false">(O4+O8)*Ipotesi!$C$11+O9*O11</f>
        <v>2726.48</v>
      </c>
      <c r="P12" s="5" t="n">
        <f aca="false">(P4+P8)*Ipotesi!$C$11+P9*P11</f>
        <v>2892.56</v>
      </c>
      <c r="Q12" s="5" t="n">
        <f aca="false">(Q4+Q8)*Ipotesi!$C$11+Q9*Q11</f>
        <v>3058.64</v>
      </c>
      <c r="R12" s="5" t="n">
        <f aca="false">(R4+R8)*Ipotesi!$C$11+R9*R11</f>
        <v>3224.72</v>
      </c>
      <c r="S12" s="5" t="n">
        <f aca="false">(S4+S8)*Ipotesi!$C$11+S9*S11</f>
        <v>3390.8</v>
      </c>
      <c r="T12" s="5" t="n">
        <f aca="false">(T4+T8)*Ipotesi!$C$11+T9*T11</f>
        <v>3556.88</v>
      </c>
      <c r="U12" s="5" t="n">
        <f aca="false">(U4+U8)*Ipotesi!$C$11+U9*U11</f>
        <v>3722.96</v>
      </c>
      <c r="V12" s="5" t="n">
        <f aca="false">(V4+V8)*Ipotesi!$C$11+V9*V11</f>
        <v>3889.04</v>
      </c>
      <c r="W12" s="5" t="n">
        <f aca="false">(W4+W8)*Ipotesi!$C$11+W9*W11</f>
        <v>4055.12</v>
      </c>
      <c r="X12" s="5" t="n">
        <f aca="false">(X4+X8)*Ipotesi!$C$11+X9*X11</f>
        <v>4221.2</v>
      </c>
      <c r="Y12" s="5" t="n">
        <f aca="false">(Y4+Y8)*Ipotesi!$C$11+Y9*Y11</f>
        <v>4221.2</v>
      </c>
      <c r="Z12" s="5" t="n">
        <f aca="false">(Z4+Z8)*Ipotesi!$C$11+Z9*Z11</f>
        <v>4821.2</v>
      </c>
      <c r="AA12" s="5" t="n">
        <f aca="false">(AA4+AA8)*Ipotesi!$C$11+AA9*AA11</f>
        <v>5415.2</v>
      </c>
      <c r="AB12" s="5" t="n">
        <f aca="false">(AB4+AB8)*Ipotesi!$C$11+AB9*AB11</f>
        <v>6003.26</v>
      </c>
      <c r="AC12" s="5" t="n">
        <f aca="false">(AC4+AC8)*Ipotesi!$C$11+AC9*AC11</f>
        <v>6585.4394</v>
      </c>
      <c r="AD12" s="5" t="n">
        <f aca="false">(AD4+AD8)*Ipotesi!$C$11+AD9*AD11</f>
        <v>7161.797006</v>
      </c>
      <c r="AE12" s="5" t="n">
        <f aca="false">(AE4+AE8)*Ipotesi!$C$11+AE9*AE11</f>
        <v>7732.39103594</v>
      </c>
      <c r="AF12" s="5" t="n">
        <f aca="false">(AF4+AF8)*Ipotesi!$C$11+AF9*AF11</f>
        <v>8297.2791255806</v>
      </c>
      <c r="AG12" s="5" t="n">
        <f aca="false">(AG4+AG8)*Ipotesi!$C$11+AG9*AG11</f>
        <v>8856.5183343248</v>
      </c>
      <c r="AH12" s="5" t="n">
        <f aca="false">(AH4+AH8)*Ipotesi!$C$11+AH9*AH11</f>
        <v>9410.16515098155</v>
      </c>
      <c r="AI12" s="5" t="n">
        <f aca="false">(AI4+AI8)*Ipotesi!$C$11+AI9*AI11</f>
        <v>9958.27549947173</v>
      </c>
      <c r="AJ12" s="5" t="n">
        <f aca="false">(AJ4+AJ8)*Ipotesi!$C$11+AJ9*AJ11</f>
        <v>10500.904744477</v>
      </c>
      <c r="AK12" s="5" t="n">
        <f aca="false">(AK4+AK8)*Ipotesi!$C$11+AK9*AK11</f>
        <v>11038.1076970322</v>
      </c>
    </row>
    <row r="13" customFormat="false" ht="15" hidden="false" customHeight="false" outlineLevel="0" collapsed="false">
      <c r="A13" s="0" t="s">
        <v>93</v>
      </c>
      <c r="B13" s="5" t="n">
        <f aca="false">(B4+B8)*Ipotesi!$C$10*Ipotesi!$C$16</f>
        <v>0</v>
      </c>
      <c r="C13" s="5" t="n">
        <f aca="false">(C4+C8)*Ipotesi!$C$10*Ipotesi!$C$16</f>
        <v>0</v>
      </c>
      <c r="D13" s="5" t="n">
        <f aca="false">(D4+D8)*Ipotesi!$C$10*Ipotesi!$C$16</f>
        <v>0</v>
      </c>
      <c r="E13" s="5" t="n">
        <f aca="false">(E4+E8)*Ipotesi!$C$10*Ipotesi!$C$16</f>
        <v>0</v>
      </c>
      <c r="F13" s="5" t="n">
        <f aca="false">(F4+F8)*Ipotesi!$C$10*Ipotesi!$C$16</f>
        <v>0</v>
      </c>
      <c r="G13" s="5" t="n">
        <f aca="false">(G4+G8)*Ipotesi!$C$10*Ipotesi!$C$16</f>
        <v>0</v>
      </c>
      <c r="H13" s="5" t="n">
        <f aca="false">(H4+H8)*Ipotesi!$C$10*Ipotesi!$C$16</f>
        <v>960</v>
      </c>
      <c r="I13" s="5" t="n">
        <f aca="false">(I4+I8)*Ipotesi!$C$10*Ipotesi!$C$16</f>
        <v>960</v>
      </c>
      <c r="J13" s="5" t="n">
        <f aca="false">(J4+J8)*Ipotesi!$C$10*Ipotesi!$C$16</f>
        <v>1052.16</v>
      </c>
      <c r="K13" s="5" t="n">
        <f aca="false">(K4+K8)*Ipotesi!$C$10*Ipotesi!$C$16</f>
        <v>1144.32</v>
      </c>
      <c r="L13" s="5" t="n">
        <f aca="false">(L4+L8)*Ipotesi!$C$10*Ipotesi!$C$16</f>
        <v>1236.48</v>
      </c>
      <c r="M13" s="5" t="n">
        <f aca="false">(M4+M8)*Ipotesi!$C$10*Ipotesi!$C$16</f>
        <v>1328.64</v>
      </c>
      <c r="N13" s="5" t="n">
        <f aca="false">(N4+N8)*Ipotesi!$C$10*Ipotesi!$C$16</f>
        <v>1420.8</v>
      </c>
      <c r="O13" s="5" t="n">
        <f aca="false">(O4+O8)*Ipotesi!$C$10*Ipotesi!$C$16</f>
        <v>1512.96</v>
      </c>
      <c r="P13" s="5" t="n">
        <f aca="false">(P4+P8)*Ipotesi!$C$10*Ipotesi!$C$16</f>
        <v>1605.12</v>
      </c>
      <c r="Q13" s="5" t="n">
        <f aca="false">(Q4+Q8)*Ipotesi!$C$10*Ipotesi!$C$16</f>
        <v>1697.28</v>
      </c>
      <c r="R13" s="5" t="n">
        <f aca="false">(R4+R8)*Ipotesi!$C$10*Ipotesi!$C$16</f>
        <v>1789.44</v>
      </c>
      <c r="S13" s="5" t="n">
        <f aca="false">(S4+S8)*Ipotesi!$C$10*Ipotesi!$C$16</f>
        <v>1881.6</v>
      </c>
      <c r="T13" s="5" t="n">
        <f aca="false">(T4+T8)*Ipotesi!$C$10*Ipotesi!$C$16</f>
        <v>1973.76</v>
      </c>
      <c r="U13" s="5" t="n">
        <f aca="false">(U4+U8)*Ipotesi!$C$10*Ipotesi!$C$16</f>
        <v>2065.92</v>
      </c>
      <c r="V13" s="5" t="n">
        <f aca="false">(V4+V8)*Ipotesi!$C$10*Ipotesi!$C$16</f>
        <v>2158.08</v>
      </c>
      <c r="W13" s="5" t="n">
        <f aca="false">(W4+W8)*Ipotesi!$C$10*Ipotesi!$C$16</f>
        <v>2250.24</v>
      </c>
      <c r="X13" s="5" t="n">
        <f aca="false">(X4+X8)*Ipotesi!$C$10*Ipotesi!$C$16</f>
        <v>2342.4</v>
      </c>
      <c r="Y13" s="5" t="n">
        <f aca="false">(Y4+Y8)*Ipotesi!$C$10*Ipotesi!$C$16</f>
        <v>2342.4</v>
      </c>
      <c r="Z13" s="5" t="n">
        <f aca="false">(Z4+Z8)*Ipotesi!$C$10*Ipotesi!$C$16</f>
        <v>2342.4</v>
      </c>
      <c r="AA13" s="5" t="n">
        <f aca="false">(AA4+AA8)*Ipotesi!$C$10*Ipotesi!$C$16</f>
        <v>2342.4</v>
      </c>
      <c r="AB13" s="5" t="n">
        <f aca="false">(AB4+AB8)*Ipotesi!$C$10*Ipotesi!$C$16</f>
        <v>2342.4</v>
      </c>
      <c r="AC13" s="5" t="n">
        <f aca="false">(AC4+AC8)*Ipotesi!$C$10*Ipotesi!$C$16</f>
        <v>2342.4</v>
      </c>
      <c r="AD13" s="5" t="n">
        <f aca="false">(AD4+AD8)*Ipotesi!$C$10*Ipotesi!$C$16</f>
        <v>2342.4</v>
      </c>
      <c r="AE13" s="5" t="n">
        <f aca="false">(AE4+AE8)*Ipotesi!$C$10*Ipotesi!$C$16</f>
        <v>2342.4</v>
      </c>
      <c r="AF13" s="5" t="n">
        <f aca="false">(AF4+AF8)*Ipotesi!$C$10*Ipotesi!$C$16</f>
        <v>2342.4</v>
      </c>
      <c r="AG13" s="5" t="n">
        <f aca="false">(AG4+AG8)*Ipotesi!$C$10*Ipotesi!$C$16</f>
        <v>2342.4</v>
      </c>
      <c r="AH13" s="5" t="n">
        <f aca="false">(AH4+AH8)*Ipotesi!$C$10*Ipotesi!$C$16</f>
        <v>2342.4</v>
      </c>
      <c r="AI13" s="5" t="n">
        <f aca="false">(AI4+AI8)*Ipotesi!$C$10*Ipotesi!$C$16</f>
        <v>2342.4</v>
      </c>
      <c r="AJ13" s="5" t="n">
        <f aca="false">(AJ4+AJ8)*Ipotesi!$C$10*Ipotesi!$C$16</f>
        <v>2342.4</v>
      </c>
      <c r="AK13" s="5" t="n">
        <f aca="false">(AK4+AK8)*Ipotesi!$C$10*Ipotesi!$C$16</f>
        <v>2342.4</v>
      </c>
    </row>
    <row r="14" customFormat="false" ht="15" hidden="false" customHeight="false" outlineLevel="0" collapsed="false">
      <c r="A14" s="0" t="s">
        <v>94</v>
      </c>
      <c r="B14" s="5" t="n">
        <f aca="false">B7*Ipotesi!$C$17</f>
        <v>0</v>
      </c>
      <c r="C14" s="5" t="n">
        <f aca="false">C7*Ipotesi!$C$17</f>
        <v>0</v>
      </c>
      <c r="D14" s="5" t="n">
        <f aca="false">D7*Ipotesi!$C$17</f>
        <v>0</v>
      </c>
      <c r="E14" s="5" t="n">
        <f aca="false">E7*Ipotesi!$C$17</f>
        <v>0</v>
      </c>
      <c r="F14" s="5" t="n">
        <f aca="false">F7*Ipotesi!$C$17</f>
        <v>0</v>
      </c>
      <c r="G14" s="5" t="n">
        <f aca="false">G7*Ipotesi!$C$17</f>
        <v>0</v>
      </c>
      <c r="H14" s="5" t="n">
        <f aca="false">H7*Ipotesi!$C$17</f>
        <v>0</v>
      </c>
      <c r="I14" s="5" t="n">
        <f aca="false">I7*Ipotesi!$C$17</f>
        <v>0</v>
      </c>
      <c r="J14" s="5" t="n">
        <f aca="false">J7*Ipotesi!$C$17</f>
        <v>0</v>
      </c>
      <c r="K14" s="5" t="n">
        <f aca="false">K7*Ipotesi!$C$17</f>
        <v>174</v>
      </c>
      <c r="L14" s="5" t="n">
        <f aca="false">L7*Ipotesi!$C$17</f>
        <v>342.78</v>
      </c>
      <c r="M14" s="5" t="n">
        <f aca="false">M7*Ipotesi!$C$17</f>
        <v>506.4966</v>
      </c>
      <c r="N14" s="5" t="n">
        <f aca="false">N7*Ipotesi!$C$17</f>
        <v>665.301702</v>
      </c>
      <c r="O14" s="5" t="n">
        <f aca="false">O7*Ipotesi!$C$17</f>
        <v>819.34265094</v>
      </c>
      <c r="P14" s="5" t="n">
        <f aca="false">P7*Ipotesi!$C$17</f>
        <v>968.7623714118</v>
      </c>
      <c r="Q14" s="5" t="n">
        <f aca="false">Q7*Ipotesi!$C$17</f>
        <v>1113.69950026945</v>
      </c>
      <c r="R14" s="5" t="n">
        <f aca="false">R7*Ipotesi!$C$17</f>
        <v>1254.28851526136</v>
      </c>
      <c r="S14" s="5" t="n">
        <f aca="false">S7*Ipotesi!$C$17</f>
        <v>1390.65985980352</v>
      </c>
      <c r="T14" s="5" t="n">
        <f aca="false">T7*Ipotesi!$C$17</f>
        <v>1522.94006400942</v>
      </c>
      <c r="U14" s="5" t="n">
        <f aca="false">U7*Ipotesi!$C$17</f>
        <v>1651.25186208913</v>
      </c>
      <c r="V14" s="5" t="n">
        <f aca="false">V7*Ipotesi!$C$17</f>
        <v>1775.71430622646</v>
      </c>
      <c r="W14" s="5" t="n">
        <f aca="false">W7*Ipotesi!$C$17</f>
        <v>1896.44287703967</v>
      </c>
      <c r="X14" s="5" t="n">
        <f aca="false">X7*Ipotesi!$C$17</f>
        <v>2013.54959072848</v>
      </c>
      <c r="Y14" s="5" t="n">
        <f aca="false">Y7*Ipotesi!$C$17</f>
        <v>2127.14310300662</v>
      </c>
      <c r="Z14" s="5" t="n">
        <f aca="false">Z7*Ipotesi!$C$17</f>
        <v>2237.32880991642</v>
      </c>
      <c r="AA14" s="5" t="n">
        <f aca="false">AA7*Ipotesi!$C$17</f>
        <v>2344.20894561893</v>
      </c>
      <c r="AB14" s="5" t="n">
        <f aca="false">AB7*Ipotesi!$C$17</f>
        <v>2447.88267725036</v>
      </c>
      <c r="AC14" s="5" t="n">
        <f aca="false">AC7*Ipotesi!$C$17</f>
        <v>2548.44619693285</v>
      </c>
      <c r="AD14" s="5" t="n">
        <f aca="false">AD7*Ipotesi!$C$17</f>
        <v>2645.99281102486</v>
      </c>
      <c r="AE14" s="5" t="n">
        <f aca="false">AE7*Ipotesi!$C$17</f>
        <v>2740.61302669412</v>
      </c>
      <c r="AF14" s="5" t="n">
        <f aca="false">AF7*Ipotesi!$C$17</f>
        <v>2832.3946358933</v>
      </c>
      <c r="AG14" s="5" t="n">
        <f aca="false">AG7*Ipotesi!$C$17</f>
        <v>2921.4227968165</v>
      </c>
      <c r="AH14" s="5" t="n">
        <f aca="false">AH7*Ipotesi!$C$17</f>
        <v>3007.780112912</v>
      </c>
      <c r="AI14" s="5" t="n">
        <f aca="false">AI7*Ipotesi!$C$17</f>
        <v>3091.54670952464</v>
      </c>
      <c r="AJ14" s="5" t="n">
        <f aca="false">AJ7*Ipotesi!$C$17</f>
        <v>3172.8003082389</v>
      </c>
      <c r="AK14" s="5" t="n">
        <f aca="false">AK7*Ipotesi!$C$17</f>
        <v>3251.61629899173</v>
      </c>
    </row>
    <row r="15" customFormat="false" ht="15" hidden="false" customHeight="false" outlineLevel="0" collapsed="false">
      <c r="A15" s="1" t="s">
        <v>95</v>
      </c>
      <c r="B15" s="5" t="n">
        <f aca="false">B12+B13+B14</f>
        <v>0</v>
      </c>
      <c r="C15" s="5" t="n">
        <f aca="false">C12+C13+C14</f>
        <v>0</v>
      </c>
      <c r="D15" s="5" t="n">
        <f aca="false">D12+D13+D14</f>
        <v>0</v>
      </c>
      <c r="E15" s="5" t="n">
        <f aca="false">E12+E13+E14</f>
        <v>0</v>
      </c>
      <c r="F15" s="5" t="n">
        <f aca="false">F12+F13+F14</f>
        <v>0</v>
      </c>
      <c r="G15" s="5" t="n">
        <f aca="false">G12+G13+G14</f>
        <v>0</v>
      </c>
      <c r="H15" s="5" t="n">
        <f aca="false">H12+H13+H14</f>
        <v>2690</v>
      </c>
      <c r="I15" s="5" t="n">
        <f aca="false">I12+I13+I14</f>
        <v>2690</v>
      </c>
      <c r="J15" s="5" t="n">
        <f aca="false">J12+J13+J14</f>
        <v>2948.24</v>
      </c>
      <c r="K15" s="5" t="n">
        <f aca="false">K12+K13+K14</f>
        <v>3380.48</v>
      </c>
      <c r="L15" s="5" t="n">
        <f aca="false">L12+L13+L14</f>
        <v>3807.5</v>
      </c>
      <c r="M15" s="5" t="n">
        <f aca="false">M12+M13+M14</f>
        <v>4229.4566</v>
      </c>
      <c r="N15" s="5" t="n">
        <f aca="false">N12+N13+N14</f>
        <v>4646.501702</v>
      </c>
      <c r="O15" s="5" t="n">
        <f aca="false">O12+O13+O14</f>
        <v>5058.78265094</v>
      </c>
      <c r="P15" s="5" t="n">
        <f aca="false">P12+P13+P14</f>
        <v>5466.4423714118</v>
      </c>
      <c r="Q15" s="5" t="n">
        <f aca="false">Q12+Q13+Q14</f>
        <v>5869.61950026945</v>
      </c>
      <c r="R15" s="5" t="n">
        <f aca="false">R12+R13+R14</f>
        <v>6268.44851526136</v>
      </c>
      <c r="S15" s="5" t="n">
        <f aca="false">S12+S13+S14</f>
        <v>6663.05985980352</v>
      </c>
      <c r="T15" s="5" t="n">
        <f aca="false">T12+T13+T14</f>
        <v>7053.58006400942</v>
      </c>
      <c r="U15" s="5" t="n">
        <f aca="false">U12+U13+U14</f>
        <v>7440.13186208913</v>
      </c>
      <c r="V15" s="5" t="n">
        <f aca="false">V12+V13+V14</f>
        <v>7822.83430622646</v>
      </c>
      <c r="W15" s="5" t="n">
        <f aca="false">W12+W13+W14</f>
        <v>8201.80287703967</v>
      </c>
      <c r="X15" s="5" t="n">
        <f aca="false">X12+X13+X14</f>
        <v>8577.14959072848</v>
      </c>
      <c r="Y15" s="5" t="n">
        <f aca="false">Y12+Y13+Y14</f>
        <v>8690.74310300662</v>
      </c>
      <c r="Z15" s="5" t="n">
        <f aca="false">Z12+Z13+Z14</f>
        <v>9400.92880991642</v>
      </c>
      <c r="AA15" s="5" t="n">
        <f aca="false">AA12+AA13+AA14</f>
        <v>10101.8089456189</v>
      </c>
      <c r="AB15" s="5" t="n">
        <f aca="false">AB12+AB13+AB14</f>
        <v>10793.5426772504</v>
      </c>
      <c r="AC15" s="5" t="n">
        <f aca="false">AC12+AC13+AC14</f>
        <v>11476.2855969328</v>
      </c>
      <c r="AD15" s="5" t="n">
        <f aca="false">AD12+AD13+AD14</f>
        <v>12150.1898170249</v>
      </c>
      <c r="AE15" s="5" t="n">
        <f aca="false">AE12+AE13+AE14</f>
        <v>12815.4040626341</v>
      </c>
      <c r="AF15" s="5" t="n">
        <f aca="false">AF12+AF13+AF14</f>
        <v>13472.0737614739</v>
      </c>
      <c r="AG15" s="5" t="n">
        <f aca="false">AG12+AG13+AG14</f>
        <v>14120.3411311413</v>
      </c>
      <c r="AH15" s="5" t="n">
        <f aca="false">AH12+AH13+AH14</f>
        <v>14760.3452638935</v>
      </c>
      <c r="AI15" s="5" t="n">
        <f aca="false">AI12+AI13+AI14</f>
        <v>15392.2222089964</v>
      </c>
      <c r="AJ15" s="5" t="n">
        <f aca="false">AJ12+AJ13+AJ14</f>
        <v>16016.1050527159</v>
      </c>
      <c r="AK15" s="5" t="n">
        <f aca="false">AK12+AK13+AK14</f>
        <v>16632.123996024</v>
      </c>
    </row>
    <row r="16" customFormat="false" ht="15" hidden="false" customHeight="false" outlineLevel="0" collapsed="false">
      <c r="A16" s="0" t="s">
        <v>96</v>
      </c>
      <c r="B16" s="5" t="n">
        <f aca="false">IF((B10+B7*Ipotesi!$C$18)&gt;0,Ipotesi!$C$12+MAX(0,(B10+B7*Ipotesi!$C$18)-Ipotesi!$C$13)*Ipotesi!$C$14,0)</f>
        <v>0</v>
      </c>
      <c r="C16" s="5" t="n">
        <f aca="false">IF((C10+C7*Ipotesi!$C$18)&gt;0,Ipotesi!$C$12+MAX(0,(C10+C7*Ipotesi!$C$18)-Ipotesi!$C$13)*Ipotesi!$C$14,0)</f>
        <v>0</v>
      </c>
      <c r="D16" s="5" t="n">
        <f aca="false">IF((D10+D7*Ipotesi!$C$18)&gt;0,Ipotesi!$C$12+MAX(0,(D10+D7*Ipotesi!$C$18)-Ipotesi!$C$13)*Ipotesi!$C$14,0)</f>
        <v>0</v>
      </c>
      <c r="E16" s="5" t="n">
        <f aca="false">IF((E10+E7*Ipotesi!$C$18)&gt;0,Ipotesi!$C$12+MAX(0,(E10+E7*Ipotesi!$C$18)-Ipotesi!$C$13)*Ipotesi!$C$14,0)</f>
        <v>0</v>
      </c>
      <c r="F16" s="5" t="n">
        <f aca="false">IF((F10+F7*Ipotesi!$C$18)&gt;0,Ipotesi!$C$12+MAX(0,(F10+F7*Ipotesi!$C$18)-Ipotesi!$C$13)*Ipotesi!$C$14,0)</f>
        <v>0</v>
      </c>
      <c r="G16" s="5" t="n">
        <f aca="false">IF((G10+G7*Ipotesi!$C$18)&gt;0,Ipotesi!$C$12+MAX(0,(G10+G7*Ipotesi!$C$18)-Ipotesi!$C$13)*Ipotesi!$C$14,0)</f>
        <v>0</v>
      </c>
      <c r="H16" s="5" t="n">
        <f aca="false">IF((H10+H7*Ipotesi!$C$18)&gt;0,Ipotesi!$C$12+MAX(0,(H10+H7*Ipotesi!$C$18)-Ipotesi!$C$13)*Ipotesi!$C$14,0)</f>
        <v>980</v>
      </c>
      <c r="I16" s="5" t="n">
        <f aca="false">IF((I10+I7*Ipotesi!$C$18)&gt;0,Ipotesi!$C$12+MAX(0,(I10+I7*Ipotesi!$C$18)-Ipotesi!$C$13)*Ipotesi!$C$14,0)</f>
        <v>980</v>
      </c>
      <c r="J16" s="5" t="n">
        <f aca="false">IF((J10+J7*Ipotesi!$C$18)&gt;0,Ipotesi!$C$12+MAX(0,(J10+J7*Ipotesi!$C$18)-Ipotesi!$C$13)*Ipotesi!$C$14,0)</f>
        <v>1055.6</v>
      </c>
      <c r="K16" s="5" t="n">
        <f aca="false">IF((K10+K7*Ipotesi!$C$18)&gt;0,Ipotesi!$C$12+MAX(0,(K10+K7*Ipotesi!$C$18)-Ipotesi!$C$13)*Ipotesi!$C$14,0)</f>
        <v>1169</v>
      </c>
      <c r="L16" s="5" t="n">
        <f aca="false">IF((L10+L7*Ipotesi!$C$18)&gt;0,Ipotesi!$C$12+MAX(0,(L10+L7*Ipotesi!$C$18)-Ipotesi!$C$13)*Ipotesi!$C$14,0)</f>
        <v>1281.266</v>
      </c>
      <c r="M16" s="5" t="n">
        <f aca="false">IF((M10+M7*Ipotesi!$C$18)&gt;0,Ipotesi!$C$12+MAX(0,(M10+M7*Ipotesi!$C$18)-Ipotesi!$C$13)*Ipotesi!$C$14,0)</f>
        <v>1392.43202</v>
      </c>
      <c r="N16" s="5" t="n">
        <f aca="false">IF((N10+N7*Ipotesi!$C$18)&gt;0,Ipotesi!$C$12+MAX(0,(N10+N7*Ipotesi!$C$18)-Ipotesi!$C$13)*Ipotesi!$C$14,0)</f>
        <v>1502.5310594</v>
      </c>
      <c r="O16" s="5" t="n">
        <f aca="false">IF((O10+O7*Ipotesi!$C$18)&gt;0,Ipotesi!$C$12+MAX(0,(O10+O7*Ipotesi!$C$18)-Ipotesi!$C$13)*Ipotesi!$C$14,0)</f>
        <v>1611.595127618</v>
      </c>
      <c r="P16" s="5" t="n">
        <f aca="false">IF((P10+P7*Ipotesi!$C$18)&gt;0,Ipotesi!$C$12+MAX(0,(P10+P7*Ipotesi!$C$18)-Ipotesi!$C$13)*Ipotesi!$C$14,0)</f>
        <v>1719.65527378946</v>
      </c>
      <c r="Q16" s="5" t="n">
        <f aca="false">IF((Q10+Q7*Ipotesi!$C$18)&gt;0,Ipotesi!$C$12+MAX(0,(Q10+Q7*Ipotesi!$C$18)-Ipotesi!$C$13)*Ipotesi!$C$14,0)</f>
        <v>1826.74161557578</v>
      </c>
      <c r="R16" s="5" t="n">
        <f aca="false">IF((R10+R7*Ipotesi!$C$18)&gt;0,Ipotesi!$C$12+MAX(0,(R10+R7*Ipotesi!$C$18)-Ipotesi!$C$13)*Ipotesi!$C$14,0)</f>
        <v>1932.8833671085</v>
      </c>
      <c r="S16" s="5" t="n">
        <f aca="false">IF((S10+S7*Ipotesi!$C$18)&gt;0,Ipotesi!$C$12+MAX(0,(S10+S7*Ipotesi!$C$18)-Ipotesi!$C$13)*Ipotesi!$C$14,0)</f>
        <v>2038.10886609525</v>
      </c>
      <c r="T16" s="5" t="n">
        <f aca="false">IF((T10+T7*Ipotesi!$C$18)&gt;0,Ipotesi!$C$12+MAX(0,(T10+T7*Ipotesi!$C$18)-Ipotesi!$C$13)*Ipotesi!$C$14,0)</f>
        <v>2142.44560011239</v>
      </c>
      <c r="U16" s="5" t="n">
        <f aca="false">IF((U10+U7*Ipotesi!$C$18)&gt;0,Ipotesi!$C$12+MAX(0,(U10+U7*Ipotesi!$C$18)-Ipotesi!$C$13)*Ipotesi!$C$14,0)</f>
        <v>2245.92023210902</v>
      </c>
      <c r="V16" s="5" t="n">
        <f aca="false">IF((V10+V7*Ipotesi!$C$18)&gt;0,Ipotesi!$C$12+MAX(0,(V10+V7*Ipotesi!$C$18)-Ipotesi!$C$13)*Ipotesi!$C$14,0)</f>
        <v>2348.55862514575</v>
      </c>
      <c r="W16" s="5" t="n">
        <f aca="false">IF((W10+W7*Ipotesi!$C$18)&gt;0,Ipotesi!$C$12+MAX(0,(W10+W7*Ipotesi!$C$18)-Ipotesi!$C$13)*Ipotesi!$C$14,0)</f>
        <v>2450.38586639138</v>
      </c>
      <c r="X16" s="5" t="n">
        <f aca="false">IF((X10+X7*Ipotesi!$C$18)&gt;0,Ipotesi!$C$12+MAX(0,(X10+X7*Ipotesi!$C$18)-Ipotesi!$C$13)*Ipotesi!$C$14,0)</f>
        <v>2551.42629039963</v>
      </c>
      <c r="Y16" s="5" t="n">
        <f aca="false">IF((Y10+Y7*Ipotesi!$C$18)&gt;0,Ipotesi!$C$12+MAX(0,(Y10+Y7*Ipotesi!$C$18)-Ipotesi!$C$13)*Ipotesi!$C$14,0)</f>
        <v>2576.10350168765</v>
      </c>
      <c r="Z16" s="5" t="n">
        <f aca="false">IF((Z10+Z7*Ipotesi!$C$18)&gt;0,Ipotesi!$C$12+MAX(0,(Z10+Z7*Ipotesi!$C$18)-Ipotesi!$C$13)*Ipotesi!$C$14,0)</f>
        <v>2726.04039663702</v>
      </c>
      <c r="AA16" s="5" t="n">
        <f aca="false">IF((AA10+AA7*Ipotesi!$C$18)&gt;0,Ipotesi!$C$12+MAX(0,(AA10+AA7*Ipotesi!$C$18)-Ipotesi!$C$13)*Ipotesi!$C$14,0)</f>
        <v>2873.99918473791</v>
      </c>
      <c r="AB16" s="5" t="n">
        <f aca="false">IF((AB10+AB7*Ipotesi!$C$18)&gt;0,Ipotesi!$C$12+MAX(0,(AB10+AB7*Ipotesi!$C$18)-Ipotesi!$C$13)*Ipotesi!$C$14,0)</f>
        <v>3020.01400919577</v>
      </c>
      <c r="AC16" s="5" t="n">
        <f aca="false">IF((AC10+AC7*Ipotesi!$C$18)&gt;0,Ipotesi!$C$12+MAX(0,(AC10+AC7*Ipotesi!$C$18)-Ipotesi!$C$13)*Ipotesi!$C$14,0)</f>
        <v>3164.1182409199</v>
      </c>
      <c r="AD16" s="5" t="n">
        <f aca="false">IF((AD10+AD7*Ipotesi!$C$18)&gt;0,Ipotesi!$C$12+MAX(0,(AD10+AD7*Ipotesi!$C$18)-Ipotesi!$C$13)*Ipotesi!$C$14,0)</f>
        <v>3306.3444991723</v>
      </c>
      <c r="AE16" s="5" t="n">
        <f aca="false">IF((AE10+AE7*Ipotesi!$C$18)&gt;0,Ipotesi!$C$12+MAX(0,(AE10+AE7*Ipotesi!$C$18)-Ipotesi!$C$13)*Ipotesi!$C$14,0)</f>
        <v>3446.72467162233</v>
      </c>
      <c r="AF16" s="5" t="n">
        <f aca="false">IF((AF10+AF7*Ipotesi!$C$18)&gt;0,Ipotesi!$C$12+MAX(0,(AF10+AF7*Ipotesi!$C$18)-Ipotesi!$C$13)*Ipotesi!$C$14,0)</f>
        <v>3585.28993382461</v>
      </c>
      <c r="AG16" s="5" t="n">
        <f aca="false">IF((AG10+AG7*Ipotesi!$C$18)&gt;0,Ipotesi!$C$12+MAX(0,(AG10+AG7*Ipotesi!$C$18)-Ipotesi!$C$13)*Ipotesi!$C$14,0)</f>
        <v>3722.07076813731</v>
      </c>
      <c r="AH16" s="5" t="n">
        <f aca="false">IF((AH10+AH7*Ipotesi!$C$18)&gt;0,Ipotesi!$C$12+MAX(0,(AH10+AH7*Ipotesi!$C$18)-Ipotesi!$C$13)*Ipotesi!$C$14,0)</f>
        <v>3857.09698209735</v>
      </c>
      <c r="AI16" s="5" t="n">
        <f aca="false">IF((AI10+AI7*Ipotesi!$C$18)&gt;0,Ipotesi!$C$12+MAX(0,(AI10+AI7*Ipotesi!$C$18)-Ipotesi!$C$13)*Ipotesi!$C$14,0)</f>
        <v>3990.39772626855</v>
      </c>
      <c r="AJ16" s="5" t="n">
        <f aca="false">IF((AJ10+AJ7*Ipotesi!$C$18)&gt;0,Ipotesi!$C$12+MAX(0,(AJ10+AJ7*Ipotesi!$C$18)-Ipotesi!$C$13)*Ipotesi!$C$14,0)</f>
        <v>4122.00151157828</v>
      </c>
      <c r="AK16" s="5" t="n">
        <f aca="false">IF((AK10+AK7*Ipotesi!$C$18)&gt;0,Ipotesi!$C$12+MAX(0,(AK10+AK7*Ipotesi!$C$18)-Ipotesi!$C$13)*Ipotesi!$C$14,0)</f>
        <v>4251.93622615773</v>
      </c>
    </row>
    <row r="17" customFormat="false" ht="15" hidden="false" customHeight="false" outlineLevel="0" collapsed="false">
      <c r="A17" s="0" t="s">
        <v>97</v>
      </c>
      <c r="B17" s="5" t="n">
        <f aca="false">B10*Ipotesi!$C$15</f>
        <v>0</v>
      </c>
      <c r="C17" s="5" t="n">
        <f aca="false">C10*Ipotesi!$C$15</f>
        <v>0</v>
      </c>
      <c r="D17" s="5" t="n">
        <f aca="false">D10*Ipotesi!$C$15</f>
        <v>0</v>
      </c>
      <c r="E17" s="5" t="n">
        <f aca="false">E10*Ipotesi!$C$15</f>
        <v>0</v>
      </c>
      <c r="F17" s="5" t="n">
        <f aca="false">F10*Ipotesi!$C$15</f>
        <v>0</v>
      </c>
      <c r="G17" s="5" t="n">
        <f aca="false">G10*Ipotesi!$C$15</f>
        <v>0</v>
      </c>
      <c r="H17" s="5" t="n">
        <f aca="false">H10*Ipotesi!$C$15</f>
        <v>100</v>
      </c>
      <c r="I17" s="5" t="n">
        <f aca="false">I10*Ipotesi!$C$15</f>
        <v>100</v>
      </c>
      <c r="J17" s="5" t="n">
        <f aca="false">J10*Ipotesi!$C$15</f>
        <v>109.6</v>
      </c>
      <c r="K17" s="5" t="n">
        <f aca="false">K10*Ipotesi!$C$15</f>
        <v>119.2</v>
      </c>
      <c r="L17" s="5" t="n">
        <f aca="false">L10*Ipotesi!$C$15</f>
        <v>128.8</v>
      </c>
      <c r="M17" s="5" t="n">
        <f aca="false">M10*Ipotesi!$C$15</f>
        <v>138.4</v>
      </c>
      <c r="N17" s="5" t="n">
        <f aca="false">N10*Ipotesi!$C$15</f>
        <v>148</v>
      </c>
      <c r="O17" s="5" t="n">
        <f aca="false">O10*Ipotesi!$C$15</f>
        <v>157.6</v>
      </c>
      <c r="P17" s="5" t="n">
        <f aca="false">P10*Ipotesi!$C$15</f>
        <v>167.2</v>
      </c>
      <c r="Q17" s="5" t="n">
        <f aca="false">Q10*Ipotesi!$C$15</f>
        <v>176.8</v>
      </c>
      <c r="R17" s="5" t="n">
        <f aca="false">R10*Ipotesi!$C$15</f>
        <v>186.4</v>
      </c>
      <c r="S17" s="5" t="n">
        <f aca="false">S10*Ipotesi!$C$15</f>
        <v>196</v>
      </c>
      <c r="T17" s="5" t="n">
        <f aca="false">T10*Ipotesi!$C$15</f>
        <v>205.6</v>
      </c>
      <c r="U17" s="5" t="n">
        <f aca="false">U10*Ipotesi!$C$15</f>
        <v>215.2</v>
      </c>
      <c r="V17" s="5" t="n">
        <f aca="false">V10*Ipotesi!$C$15</f>
        <v>224.8</v>
      </c>
      <c r="W17" s="5" t="n">
        <f aca="false">W10*Ipotesi!$C$15</f>
        <v>234.4</v>
      </c>
      <c r="X17" s="5" t="n">
        <f aca="false">X10*Ipotesi!$C$15</f>
        <v>244</v>
      </c>
      <c r="Y17" s="5" t="n">
        <f aca="false">Y10*Ipotesi!$C$15</f>
        <v>244</v>
      </c>
      <c r="Z17" s="5" t="n">
        <f aca="false">Z10*Ipotesi!$C$15</f>
        <v>260</v>
      </c>
      <c r="AA17" s="5" t="n">
        <f aca="false">AA10*Ipotesi!$C$15</f>
        <v>275.84</v>
      </c>
      <c r="AB17" s="5" t="n">
        <f aca="false">AB10*Ipotesi!$C$15</f>
        <v>291.5216</v>
      </c>
      <c r="AC17" s="5" t="n">
        <f aca="false">AC10*Ipotesi!$C$15</f>
        <v>307.046384</v>
      </c>
      <c r="AD17" s="5" t="n">
        <f aca="false">AD10*Ipotesi!$C$15</f>
        <v>322.41592016</v>
      </c>
      <c r="AE17" s="5" t="n">
        <f aca="false">AE10*Ipotesi!$C$15</f>
        <v>337.6317609584</v>
      </c>
      <c r="AF17" s="5" t="n">
        <f aca="false">AF10*Ipotesi!$C$15</f>
        <v>352.695443348816</v>
      </c>
      <c r="AG17" s="5" t="n">
        <f aca="false">AG10*Ipotesi!$C$15</f>
        <v>367.608488915328</v>
      </c>
      <c r="AH17" s="5" t="n">
        <f aca="false">AH10*Ipotesi!$C$15</f>
        <v>382.372404026175</v>
      </c>
      <c r="AI17" s="5" t="n">
        <f aca="false">AI10*Ipotesi!$C$15</f>
        <v>396.988679985913</v>
      </c>
      <c r="AJ17" s="5" t="n">
        <f aca="false">AJ10*Ipotesi!$C$15</f>
        <v>411.458793186054</v>
      </c>
      <c r="AK17" s="5" t="n">
        <f aca="false">AK10*Ipotesi!$C$15</f>
        <v>425.784205254193</v>
      </c>
    </row>
    <row r="18" customFormat="false" ht="15" hidden="false" customHeight="false" outlineLevel="0" collapsed="false">
      <c r="A18" s="0" t="s">
        <v>98</v>
      </c>
      <c r="B18" s="5" t="n">
        <f aca="false">B10*Ipotesi!$C$10*Ipotesi!$C$16</f>
        <v>0</v>
      </c>
      <c r="C18" s="5" t="n">
        <f aca="false">C10*Ipotesi!$C$10*Ipotesi!$C$16</f>
        <v>0</v>
      </c>
      <c r="D18" s="5" t="n">
        <f aca="false">D10*Ipotesi!$C$10*Ipotesi!$C$16</f>
        <v>0</v>
      </c>
      <c r="E18" s="5" t="n">
        <f aca="false">E10*Ipotesi!$C$10*Ipotesi!$C$16</f>
        <v>0</v>
      </c>
      <c r="F18" s="5" t="n">
        <f aca="false">F10*Ipotesi!$C$10*Ipotesi!$C$16</f>
        <v>0</v>
      </c>
      <c r="G18" s="5" t="n">
        <f aca="false">G10*Ipotesi!$C$10*Ipotesi!$C$16</f>
        <v>0</v>
      </c>
      <c r="H18" s="5" t="n">
        <f aca="false">H10*Ipotesi!$C$10*Ipotesi!$C$16</f>
        <v>960</v>
      </c>
      <c r="I18" s="5" t="n">
        <f aca="false">I10*Ipotesi!$C$10*Ipotesi!$C$16</f>
        <v>960</v>
      </c>
      <c r="J18" s="5" t="n">
        <f aca="false">J10*Ipotesi!$C$10*Ipotesi!$C$16</f>
        <v>1052.16</v>
      </c>
      <c r="K18" s="5" t="n">
        <f aca="false">K10*Ipotesi!$C$10*Ipotesi!$C$16</f>
        <v>1144.32</v>
      </c>
      <c r="L18" s="5" t="n">
        <f aca="false">L10*Ipotesi!$C$10*Ipotesi!$C$16</f>
        <v>1236.48</v>
      </c>
      <c r="M18" s="5" t="n">
        <f aca="false">M10*Ipotesi!$C$10*Ipotesi!$C$16</f>
        <v>1328.64</v>
      </c>
      <c r="N18" s="5" t="n">
        <f aca="false">N10*Ipotesi!$C$10*Ipotesi!$C$16</f>
        <v>1420.8</v>
      </c>
      <c r="O18" s="5" t="n">
        <f aca="false">O10*Ipotesi!$C$10*Ipotesi!$C$16</f>
        <v>1512.96</v>
      </c>
      <c r="P18" s="5" t="n">
        <f aca="false">P10*Ipotesi!$C$10*Ipotesi!$C$16</f>
        <v>1605.12</v>
      </c>
      <c r="Q18" s="5" t="n">
        <f aca="false">Q10*Ipotesi!$C$10*Ipotesi!$C$16</f>
        <v>1697.28</v>
      </c>
      <c r="R18" s="5" t="n">
        <f aca="false">R10*Ipotesi!$C$10*Ipotesi!$C$16</f>
        <v>1789.44</v>
      </c>
      <c r="S18" s="5" t="n">
        <f aca="false">S10*Ipotesi!$C$10*Ipotesi!$C$16</f>
        <v>1881.6</v>
      </c>
      <c r="T18" s="5" t="n">
        <f aca="false">T10*Ipotesi!$C$10*Ipotesi!$C$16</f>
        <v>1973.76</v>
      </c>
      <c r="U18" s="5" t="n">
        <f aca="false">U10*Ipotesi!$C$10*Ipotesi!$C$16</f>
        <v>2065.92</v>
      </c>
      <c r="V18" s="5" t="n">
        <f aca="false">V10*Ipotesi!$C$10*Ipotesi!$C$16</f>
        <v>2158.08</v>
      </c>
      <c r="W18" s="5" t="n">
        <f aca="false">W10*Ipotesi!$C$10*Ipotesi!$C$16</f>
        <v>2250.24</v>
      </c>
      <c r="X18" s="5" t="n">
        <f aca="false">X10*Ipotesi!$C$10*Ipotesi!$C$16</f>
        <v>2342.4</v>
      </c>
      <c r="Y18" s="5" t="n">
        <f aca="false">Y10*Ipotesi!$C$10*Ipotesi!$C$16</f>
        <v>2342.4</v>
      </c>
      <c r="Z18" s="5" t="n">
        <f aca="false">Z10*Ipotesi!$C$10*Ipotesi!$C$16</f>
        <v>2496</v>
      </c>
      <c r="AA18" s="5" t="n">
        <f aca="false">AA10*Ipotesi!$C$10*Ipotesi!$C$16</f>
        <v>2648.064</v>
      </c>
      <c r="AB18" s="5" t="n">
        <f aca="false">AB10*Ipotesi!$C$10*Ipotesi!$C$16</f>
        <v>2798.60736</v>
      </c>
      <c r="AC18" s="5" t="n">
        <f aca="false">AC10*Ipotesi!$C$10*Ipotesi!$C$16</f>
        <v>2947.6452864</v>
      </c>
      <c r="AD18" s="5" t="n">
        <f aca="false">AD10*Ipotesi!$C$10*Ipotesi!$C$16</f>
        <v>3095.192833536</v>
      </c>
      <c r="AE18" s="5" t="n">
        <f aca="false">AE10*Ipotesi!$C$10*Ipotesi!$C$16</f>
        <v>3241.26490520064</v>
      </c>
      <c r="AF18" s="5" t="n">
        <f aca="false">AF10*Ipotesi!$C$10*Ipotesi!$C$16</f>
        <v>3385.87625614863</v>
      </c>
      <c r="AG18" s="5" t="n">
        <f aca="false">AG10*Ipotesi!$C$10*Ipotesi!$C$16</f>
        <v>3529.04149358715</v>
      </c>
      <c r="AH18" s="5" t="n">
        <f aca="false">AH10*Ipotesi!$C$10*Ipotesi!$C$16</f>
        <v>3670.77507865128</v>
      </c>
      <c r="AI18" s="5" t="n">
        <f aca="false">AI10*Ipotesi!$C$10*Ipotesi!$C$16</f>
        <v>3811.09132786476</v>
      </c>
      <c r="AJ18" s="5" t="n">
        <f aca="false">AJ10*Ipotesi!$C$10*Ipotesi!$C$16</f>
        <v>3950.00441458612</v>
      </c>
      <c r="AK18" s="5" t="n">
        <f aca="false">AK10*Ipotesi!$C$10*Ipotesi!$C$16</f>
        <v>4087.52837044025</v>
      </c>
    </row>
    <row r="19" customFormat="false" ht="15" hidden="false" customHeight="false" outlineLevel="0" collapsed="false">
      <c r="A19" s="0" t="s">
        <v>99</v>
      </c>
      <c r="B19" s="5" t="n">
        <f aca="false">B7*Ipotesi!$C$18*Ipotesi!$C$15</f>
        <v>0</v>
      </c>
      <c r="C19" s="5" t="n">
        <f aca="false">C7*Ipotesi!$C$18*Ipotesi!$C$15</f>
        <v>0</v>
      </c>
      <c r="D19" s="5" t="n">
        <f aca="false">D7*Ipotesi!$C$18*Ipotesi!$C$15</f>
        <v>0</v>
      </c>
      <c r="E19" s="5" t="n">
        <f aca="false">E7*Ipotesi!$C$18*Ipotesi!$C$15</f>
        <v>0</v>
      </c>
      <c r="F19" s="5" t="n">
        <f aca="false">F7*Ipotesi!$C$18*Ipotesi!$C$15</f>
        <v>0</v>
      </c>
      <c r="G19" s="5" t="n">
        <f aca="false">G7*Ipotesi!$C$18*Ipotesi!$C$15</f>
        <v>0</v>
      </c>
      <c r="H19" s="5" t="n">
        <f aca="false">H7*Ipotesi!$C$18*Ipotesi!$C$15</f>
        <v>0</v>
      </c>
      <c r="I19" s="5" t="n">
        <f aca="false">I7*Ipotesi!$C$18*Ipotesi!$C$15</f>
        <v>0</v>
      </c>
      <c r="J19" s="5" t="n">
        <f aca="false">J7*Ipotesi!$C$18*Ipotesi!$C$15</f>
        <v>0</v>
      </c>
      <c r="K19" s="5" t="n">
        <f aca="false">K7*Ipotesi!$C$18*Ipotesi!$C$15</f>
        <v>4.8</v>
      </c>
      <c r="L19" s="5" t="n">
        <f aca="false">L7*Ipotesi!$C$18*Ipotesi!$C$15</f>
        <v>9.456</v>
      </c>
      <c r="M19" s="5" t="n">
        <f aca="false">M7*Ipotesi!$C$18*Ipotesi!$C$15</f>
        <v>13.97232</v>
      </c>
      <c r="N19" s="5" t="n">
        <f aca="false">N7*Ipotesi!$C$18*Ipotesi!$C$15</f>
        <v>18.3531504</v>
      </c>
      <c r="O19" s="5" t="n">
        <f aca="false">O7*Ipotesi!$C$18*Ipotesi!$C$15</f>
        <v>22.602555888</v>
      </c>
      <c r="P19" s="5" t="n">
        <f aca="false">P7*Ipotesi!$C$18*Ipotesi!$C$15</f>
        <v>26.72447921136</v>
      </c>
      <c r="Q19" s="5" t="n">
        <f aca="false">Q7*Ipotesi!$C$18*Ipotesi!$C$15</f>
        <v>30.7227448350192</v>
      </c>
      <c r="R19" s="5" t="n">
        <f aca="false">R7*Ipotesi!$C$18*Ipotesi!$C$15</f>
        <v>34.6010624899686</v>
      </c>
      <c r="S19" s="5" t="n">
        <f aca="false">S7*Ipotesi!$C$18*Ipotesi!$C$15</f>
        <v>38.3630306152696</v>
      </c>
      <c r="T19" s="5" t="n">
        <f aca="false">T7*Ipotesi!$C$18*Ipotesi!$C$15</f>
        <v>42.0121396968115</v>
      </c>
      <c r="U19" s="5" t="n">
        <f aca="false">U7*Ipotesi!$C$18*Ipotesi!$C$15</f>
        <v>45.5517755059071</v>
      </c>
      <c r="V19" s="5" t="n">
        <f aca="false">V7*Ipotesi!$C$18*Ipotesi!$C$15</f>
        <v>48.9852222407299</v>
      </c>
      <c r="W19" s="5" t="n">
        <f aca="false">W7*Ipotesi!$C$18*Ipotesi!$C$15</f>
        <v>52.315665573508</v>
      </c>
      <c r="X19" s="5" t="n">
        <f aca="false">X7*Ipotesi!$C$18*Ipotesi!$C$15</f>
        <v>55.5461956063028</v>
      </c>
      <c r="Y19" s="5" t="n">
        <f aca="false">Y7*Ipotesi!$C$18*Ipotesi!$C$15</f>
        <v>58.6798097381137</v>
      </c>
      <c r="Z19" s="5" t="n">
        <f aca="false">Z7*Ipotesi!$C$18*Ipotesi!$C$15</f>
        <v>61.7194154459703</v>
      </c>
      <c r="AA19" s="5" t="n">
        <f aca="false">AA7*Ipotesi!$C$18*Ipotesi!$C$15</f>
        <v>64.6678329825912</v>
      </c>
      <c r="AB19" s="5" t="n">
        <f aca="false">AB7*Ipotesi!$C$18*Ipotesi!$C$15</f>
        <v>67.5277979931134</v>
      </c>
      <c r="AC19" s="5" t="n">
        <f aca="false">AC7*Ipotesi!$C$18*Ipotesi!$C$15</f>
        <v>70.30196405332</v>
      </c>
      <c r="AD19" s="5" t="n">
        <f aca="false">AD7*Ipotesi!$C$18*Ipotesi!$C$15</f>
        <v>72.9929051317204</v>
      </c>
      <c r="AE19" s="5" t="n">
        <f aca="false">AE7*Ipotesi!$C$18*Ipotesi!$C$15</f>
        <v>75.6031179777688</v>
      </c>
      <c r="AF19" s="5" t="n">
        <f aca="false">AF7*Ipotesi!$C$18*Ipotesi!$C$15</f>
        <v>78.1350244384357</v>
      </c>
      <c r="AG19" s="5" t="n">
        <f aca="false">AG7*Ipotesi!$C$18*Ipotesi!$C$15</f>
        <v>80.5909737052827</v>
      </c>
      <c r="AH19" s="5" t="n">
        <f aca="false">AH7*Ipotesi!$C$18*Ipotesi!$C$15</f>
        <v>82.9732444941242</v>
      </c>
      <c r="AI19" s="5" t="n">
        <f aca="false">AI7*Ipotesi!$C$18*Ipotesi!$C$15</f>
        <v>85.2840471593005</v>
      </c>
      <c r="AJ19" s="5" t="n">
        <f aca="false">AJ7*Ipotesi!$C$18*Ipotesi!$C$15</f>
        <v>87.5255257445215</v>
      </c>
      <c r="AK19" s="5" t="n">
        <f aca="false">AK7*Ipotesi!$C$18*Ipotesi!$C$15</f>
        <v>89.6997599721858</v>
      </c>
    </row>
    <row r="20" customFormat="false" ht="15" hidden="false" customHeight="false" outlineLevel="0" collapsed="false">
      <c r="A20" s="1" t="s">
        <v>100</v>
      </c>
      <c r="B20" s="5" t="n">
        <f aca="false">B15-B16-B17-B18-B19</f>
        <v>0</v>
      </c>
      <c r="C20" s="5" t="n">
        <f aca="false">C15-C16-C17-C18-C19</f>
        <v>0</v>
      </c>
      <c r="D20" s="5" t="n">
        <f aca="false">D15-D16-D17-D18-D19</f>
        <v>0</v>
      </c>
      <c r="E20" s="5" t="n">
        <f aca="false">E15-E16-E17-E18-E19</f>
        <v>0</v>
      </c>
      <c r="F20" s="5" t="n">
        <f aca="false">F15-F16-F17-F18-F19</f>
        <v>0</v>
      </c>
      <c r="G20" s="5" t="n">
        <f aca="false">G15-G16-G17-G18-G19</f>
        <v>0</v>
      </c>
      <c r="H20" s="5" t="n">
        <f aca="false">H15-H16-H17-H18-H19</f>
        <v>650</v>
      </c>
      <c r="I20" s="5" t="n">
        <f aca="false">I15-I16-I17-I18-I19</f>
        <v>650</v>
      </c>
      <c r="J20" s="5" t="n">
        <f aca="false">J15-J16-J17-J18-J19</f>
        <v>730.88</v>
      </c>
      <c r="K20" s="5" t="n">
        <f aca="false">K15-K16-K17-K18-K19</f>
        <v>943.16</v>
      </c>
      <c r="L20" s="5" t="n">
        <f aca="false">L15-L16-L17-L18-L19</f>
        <v>1151.498</v>
      </c>
      <c r="M20" s="5" t="n">
        <f aca="false">M15-M16-M17-M18-M19</f>
        <v>1356.01226</v>
      </c>
      <c r="N20" s="5" t="n">
        <f aca="false">N15-N16-N17-N18-N19</f>
        <v>1556.8174922</v>
      </c>
      <c r="O20" s="5" t="n">
        <f aca="false">O15-O16-O17-O18-O19</f>
        <v>1754.024967434</v>
      </c>
      <c r="P20" s="5" t="n">
        <f aca="false">P15-P16-P17-P18-P19</f>
        <v>1947.74261841098</v>
      </c>
      <c r="Q20" s="5" t="n">
        <f aca="false">Q15-Q16-Q17-Q18-Q19</f>
        <v>2138.07513985865</v>
      </c>
      <c r="R20" s="5" t="n">
        <f aca="false">R15-R16-R17-R18-R19</f>
        <v>2325.12408566289</v>
      </c>
      <c r="S20" s="5" t="n">
        <f aca="false">S15-S16-S17-S18-S19</f>
        <v>2508.987963093</v>
      </c>
      <c r="T20" s="5" t="n">
        <f aca="false">T15-T16-T17-T18-T19</f>
        <v>2689.76232420021</v>
      </c>
      <c r="U20" s="5" t="n">
        <f aca="false">U15-U16-U17-U18-U19</f>
        <v>2867.53985447421</v>
      </c>
      <c r="V20" s="5" t="n">
        <f aca="false">V15-V16-V17-V18-V19</f>
        <v>3042.41045883998</v>
      </c>
      <c r="W20" s="5" t="n">
        <f aca="false">W15-W16-W17-W18-W19</f>
        <v>3214.46134507478</v>
      </c>
      <c r="X20" s="5" t="n">
        <f aca="false">X15-X16-X17-X18-X19</f>
        <v>3383.77710472254</v>
      </c>
      <c r="Y20" s="5" t="n">
        <f aca="false">Y15-Y16-Y17-Y18-Y19</f>
        <v>3469.55979158086</v>
      </c>
      <c r="Z20" s="5" t="n">
        <f aca="false">Z15-Z16-Z17-Z18-Z19</f>
        <v>3857.16899783344</v>
      </c>
      <c r="AA20" s="5" t="n">
        <f aca="false">AA15-AA16-AA17-AA18-AA19</f>
        <v>4239.23792789843</v>
      </c>
      <c r="AB20" s="5" t="n">
        <f aca="false">AB15-AB16-AB17-AB18-AB19</f>
        <v>4615.87191006148</v>
      </c>
      <c r="AC20" s="5" t="n">
        <f aca="false">AC15-AC16-AC17-AC18-AC19</f>
        <v>4987.17372155963</v>
      </c>
      <c r="AD20" s="5" t="n">
        <f aca="false">AD15-AD16-AD17-AD18-AD19</f>
        <v>5353.24365902485</v>
      </c>
      <c r="AE20" s="5" t="n">
        <f aca="false">AE15-AE16-AE17-AE18-AE19</f>
        <v>5714.17960687498</v>
      </c>
      <c r="AF20" s="5" t="n">
        <f aca="false">AF15-AF16-AF17-AF18-AF19</f>
        <v>6070.0771037134</v>
      </c>
      <c r="AG20" s="5" t="n">
        <f aca="false">AG15-AG16-AG17-AG18-AG19</f>
        <v>6421.02940679623</v>
      </c>
      <c r="AH20" s="5" t="n">
        <f aca="false">AH15-AH16-AH17-AH18-AH19</f>
        <v>6767.12755462462</v>
      </c>
      <c r="AI20" s="5" t="n">
        <f aca="false">AI15-AI16-AI17-AI18-AI19</f>
        <v>7108.46042771784</v>
      </c>
      <c r="AJ20" s="5" t="n">
        <f aca="false">AJ15-AJ16-AJ17-AJ18-AJ19</f>
        <v>7445.11480762095</v>
      </c>
      <c r="AK20" s="5" t="n">
        <f aca="false">AK15-AK16-AK17-AK18-AK19</f>
        <v>7777.17543419961</v>
      </c>
    </row>
    <row r="21" customFormat="false" ht="15" hidden="false" customHeight="false" outlineLevel="0" collapsed="false">
      <c r="A21" s="0" t="s">
        <v>16</v>
      </c>
      <c r="B21" s="5" t="n">
        <f aca="false">IF(B3=1,Ipotesi!$C$22+Ipotesi!$C$23+Ipotesi!$C$29,Ipotesi!$C$21)+IF(B2&gt;=Ipotesi!$C$26,Ipotesi!$C$24+Ipotesi!$C$25,0)+IF(B2=Ipotesi!$C$28,Ipotesi!$C$27,0)</f>
        <v>205</v>
      </c>
      <c r="C21" s="5" t="n">
        <f aca="false">IF(C3=1,Ipotesi!$C$22+Ipotesi!$C$23+Ipotesi!$C$29,Ipotesi!$C$21)+IF(C2&gt;=Ipotesi!$C$26,Ipotesi!$C$24+Ipotesi!$C$25,0)+IF(C2=Ipotesi!$C$28,Ipotesi!$C$27,0)</f>
        <v>455</v>
      </c>
      <c r="D21" s="5" t="n">
        <f aca="false">IF(D3=1,Ipotesi!$C$22+Ipotesi!$C$23+Ipotesi!$C$29,Ipotesi!$C$21)+IF(D2&gt;=Ipotesi!$C$26,Ipotesi!$C$24+Ipotesi!$C$25,0)+IF(D2=Ipotesi!$C$28,Ipotesi!$C$27,0)</f>
        <v>6455</v>
      </c>
      <c r="E21" s="5" t="n">
        <f aca="false">IF(E3=1,Ipotesi!$C$22+Ipotesi!$C$23+Ipotesi!$C$29,Ipotesi!$C$21)+IF(E2&gt;=Ipotesi!$C$26,Ipotesi!$C$24+Ipotesi!$C$25,0)+IF(E2=Ipotesi!$C$28,Ipotesi!$C$27,0)</f>
        <v>455</v>
      </c>
      <c r="F21" s="5" t="n">
        <f aca="false">IF(F3=1,Ipotesi!$C$22+Ipotesi!$C$23+Ipotesi!$C$29,Ipotesi!$C$21)+IF(F2&gt;=Ipotesi!$C$26,Ipotesi!$C$24+Ipotesi!$C$25,0)+IF(F2=Ipotesi!$C$28,Ipotesi!$C$27,0)</f>
        <v>455</v>
      </c>
      <c r="G21" s="5" t="n">
        <f aca="false">IF(G3=1,Ipotesi!$C$22+Ipotesi!$C$23+Ipotesi!$C$29,Ipotesi!$C$21)+IF(G2&gt;=Ipotesi!$C$26,Ipotesi!$C$24+Ipotesi!$C$25,0)+IF(G2=Ipotesi!$C$28,Ipotesi!$C$27,0)</f>
        <v>455</v>
      </c>
      <c r="H21" s="5" t="n">
        <f aca="false">IF(H3=1,Ipotesi!$C$22+Ipotesi!$C$23+Ipotesi!$C$29,Ipotesi!$C$21)+IF(H2&gt;=Ipotesi!$C$26,Ipotesi!$C$24+Ipotesi!$C$25,0)+IF(H2=Ipotesi!$C$28,Ipotesi!$C$27,0)</f>
        <v>945</v>
      </c>
      <c r="I21" s="5" t="n">
        <f aca="false">IF(I3=1,Ipotesi!$C$22+Ipotesi!$C$23+Ipotesi!$C$29,Ipotesi!$C$21)+IF(I2&gt;=Ipotesi!$C$26,Ipotesi!$C$24+Ipotesi!$C$25,0)+IF(I2=Ipotesi!$C$28,Ipotesi!$C$27,0)</f>
        <v>945</v>
      </c>
      <c r="J21" s="5" t="n">
        <f aca="false">IF(J3=1,Ipotesi!$C$22+Ipotesi!$C$23+Ipotesi!$C$29,Ipotesi!$C$21)+IF(J2&gt;=Ipotesi!$C$26,Ipotesi!$C$24+Ipotesi!$C$25,0)+IF(J2=Ipotesi!$C$28,Ipotesi!$C$27,0)</f>
        <v>945</v>
      </c>
      <c r="K21" s="5" t="n">
        <f aca="false">IF(K3=1,Ipotesi!$C$22+Ipotesi!$C$23+Ipotesi!$C$29,Ipotesi!$C$21)+IF(K2&gt;=Ipotesi!$C$26,Ipotesi!$C$24+Ipotesi!$C$25,0)+IF(K2=Ipotesi!$C$28,Ipotesi!$C$27,0)</f>
        <v>945</v>
      </c>
      <c r="L21" s="5" t="n">
        <f aca="false">IF(L3=1,Ipotesi!$C$22+Ipotesi!$C$23+Ipotesi!$C$29,Ipotesi!$C$21)+IF(L2&gt;=Ipotesi!$C$26,Ipotesi!$C$24+Ipotesi!$C$25,0)+IF(L2=Ipotesi!$C$28,Ipotesi!$C$27,0)</f>
        <v>945</v>
      </c>
      <c r="M21" s="5" t="n">
        <f aca="false">IF(M3=1,Ipotesi!$C$22+Ipotesi!$C$23+Ipotesi!$C$29,Ipotesi!$C$21)+IF(M2&gt;=Ipotesi!$C$26,Ipotesi!$C$24+Ipotesi!$C$25,0)+IF(M2=Ipotesi!$C$28,Ipotesi!$C$27,0)</f>
        <v>945</v>
      </c>
      <c r="N21" s="5" t="n">
        <f aca="false">IF(N3=1,Ipotesi!$C$22+Ipotesi!$C$23+Ipotesi!$C$29,Ipotesi!$C$21)+IF(N2&gt;=Ipotesi!$C$26,Ipotesi!$C$24+Ipotesi!$C$25,0)+IF(N2=Ipotesi!$C$28,Ipotesi!$C$27,0)</f>
        <v>945</v>
      </c>
      <c r="O21" s="5" t="n">
        <f aca="false">IF(O3=1,Ipotesi!$C$22+Ipotesi!$C$23+Ipotesi!$C$29,Ipotesi!$C$21)+IF(O2&gt;=Ipotesi!$C$26,Ipotesi!$C$24+Ipotesi!$C$25,0)+IF(O2=Ipotesi!$C$28,Ipotesi!$C$27,0)</f>
        <v>945</v>
      </c>
      <c r="P21" s="5" t="n">
        <f aca="false">IF(P3=1,Ipotesi!$C$22+Ipotesi!$C$23+Ipotesi!$C$29,Ipotesi!$C$21)+IF(P2&gt;=Ipotesi!$C$26,Ipotesi!$C$24+Ipotesi!$C$25,0)+IF(P2=Ipotesi!$C$28,Ipotesi!$C$27,0)</f>
        <v>945</v>
      </c>
      <c r="Q21" s="5" t="n">
        <f aca="false">IF(Q3=1,Ipotesi!$C$22+Ipotesi!$C$23+Ipotesi!$C$29,Ipotesi!$C$21)+IF(Q2&gt;=Ipotesi!$C$26,Ipotesi!$C$24+Ipotesi!$C$25,0)+IF(Q2=Ipotesi!$C$28,Ipotesi!$C$27,0)</f>
        <v>945</v>
      </c>
      <c r="R21" s="5" t="n">
        <f aca="false">IF(R3=1,Ipotesi!$C$22+Ipotesi!$C$23+Ipotesi!$C$29,Ipotesi!$C$21)+IF(R2&gt;=Ipotesi!$C$26,Ipotesi!$C$24+Ipotesi!$C$25,0)+IF(R2=Ipotesi!$C$28,Ipotesi!$C$27,0)</f>
        <v>945</v>
      </c>
      <c r="S21" s="5" t="n">
        <f aca="false">IF(S3=1,Ipotesi!$C$22+Ipotesi!$C$23+Ipotesi!$C$29,Ipotesi!$C$21)+IF(S2&gt;=Ipotesi!$C$26,Ipotesi!$C$24+Ipotesi!$C$25,0)+IF(S2=Ipotesi!$C$28,Ipotesi!$C$27,0)</f>
        <v>945</v>
      </c>
      <c r="T21" s="5" t="n">
        <f aca="false">IF(T3=1,Ipotesi!$C$22+Ipotesi!$C$23+Ipotesi!$C$29,Ipotesi!$C$21)+IF(T2&gt;=Ipotesi!$C$26,Ipotesi!$C$24+Ipotesi!$C$25,0)+IF(T2=Ipotesi!$C$28,Ipotesi!$C$27,0)</f>
        <v>945</v>
      </c>
      <c r="U21" s="5" t="n">
        <f aca="false">IF(U3=1,Ipotesi!$C$22+Ipotesi!$C$23+Ipotesi!$C$29,Ipotesi!$C$21)+IF(U2&gt;=Ipotesi!$C$26,Ipotesi!$C$24+Ipotesi!$C$25,0)+IF(U2=Ipotesi!$C$28,Ipotesi!$C$27,0)</f>
        <v>945</v>
      </c>
      <c r="V21" s="5" t="n">
        <f aca="false">IF(V3=1,Ipotesi!$C$22+Ipotesi!$C$23+Ipotesi!$C$29,Ipotesi!$C$21)+IF(V2&gt;=Ipotesi!$C$26,Ipotesi!$C$24+Ipotesi!$C$25,0)+IF(V2=Ipotesi!$C$28,Ipotesi!$C$27,0)</f>
        <v>945</v>
      </c>
      <c r="W21" s="5" t="n">
        <f aca="false">IF(W3=1,Ipotesi!$C$22+Ipotesi!$C$23+Ipotesi!$C$29,Ipotesi!$C$21)+IF(W2&gt;=Ipotesi!$C$26,Ipotesi!$C$24+Ipotesi!$C$25,0)+IF(W2=Ipotesi!$C$28,Ipotesi!$C$27,0)</f>
        <v>945</v>
      </c>
      <c r="X21" s="5" t="n">
        <f aca="false">IF(X3=1,Ipotesi!$C$22+Ipotesi!$C$23+Ipotesi!$C$29,Ipotesi!$C$21)+IF(X2&gt;=Ipotesi!$C$26,Ipotesi!$C$24+Ipotesi!$C$25,0)+IF(X2=Ipotesi!$C$28,Ipotesi!$C$27,0)</f>
        <v>945</v>
      </c>
      <c r="Y21" s="5" t="n">
        <f aca="false">IF(Y3=1,Ipotesi!$C$22+Ipotesi!$C$23+Ipotesi!$C$29,Ipotesi!$C$21)+IF(Y2&gt;=Ipotesi!$C$26,Ipotesi!$C$24+Ipotesi!$C$25,0)+IF(Y2=Ipotesi!$C$28,Ipotesi!$C$27,0)</f>
        <v>945</v>
      </c>
      <c r="Z21" s="5" t="n">
        <f aca="false">IF(Z3=1,Ipotesi!$C$22+Ipotesi!$C$23+Ipotesi!$C$29,Ipotesi!$C$21)+IF(Z2&gt;=Ipotesi!$C$26,Ipotesi!$C$24+Ipotesi!$C$25,0)+IF(Z2=Ipotesi!$C$28,Ipotesi!$C$27,0)</f>
        <v>945</v>
      </c>
      <c r="AA21" s="5" t="n">
        <f aca="false">IF(AA3=1,Ipotesi!$C$22+Ipotesi!$C$23+Ipotesi!$C$29,Ipotesi!$C$21)+IF(AA2&gt;=Ipotesi!$C$26,Ipotesi!$C$24+Ipotesi!$C$25,0)+IF(AA2=Ipotesi!$C$28,Ipotesi!$C$27,0)</f>
        <v>945</v>
      </c>
      <c r="AB21" s="5" t="n">
        <f aca="false">IF(AB3=1,Ipotesi!$C$22+Ipotesi!$C$23+Ipotesi!$C$29,Ipotesi!$C$21)+IF(AB2&gt;=Ipotesi!$C$26,Ipotesi!$C$24+Ipotesi!$C$25,0)+IF(AB2=Ipotesi!$C$28,Ipotesi!$C$27,0)</f>
        <v>945</v>
      </c>
      <c r="AC21" s="5" t="n">
        <f aca="false">IF(AC3=1,Ipotesi!$C$22+Ipotesi!$C$23+Ipotesi!$C$29,Ipotesi!$C$21)+IF(AC2&gt;=Ipotesi!$C$26,Ipotesi!$C$24+Ipotesi!$C$25,0)+IF(AC2=Ipotesi!$C$28,Ipotesi!$C$27,0)</f>
        <v>945</v>
      </c>
      <c r="AD21" s="5" t="n">
        <f aca="false">IF(AD3=1,Ipotesi!$C$22+Ipotesi!$C$23+Ipotesi!$C$29,Ipotesi!$C$21)+IF(AD2&gt;=Ipotesi!$C$26,Ipotesi!$C$24+Ipotesi!$C$25,0)+IF(AD2=Ipotesi!$C$28,Ipotesi!$C$27,0)</f>
        <v>945</v>
      </c>
      <c r="AE21" s="5" t="n">
        <f aca="false">IF(AE3=1,Ipotesi!$C$22+Ipotesi!$C$23+Ipotesi!$C$29,Ipotesi!$C$21)+IF(AE2&gt;=Ipotesi!$C$26,Ipotesi!$C$24+Ipotesi!$C$25,0)+IF(AE2=Ipotesi!$C$28,Ipotesi!$C$27,0)</f>
        <v>945</v>
      </c>
      <c r="AF21" s="5" t="n">
        <f aca="false">IF(AF3=1,Ipotesi!$C$22+Ipotesi!$C$23+Ipotesi!$C$29,Ipotesi!$C$21)+IF(AF2&gt;=Ipotesi!$C$26,Ipotesi!$C$24+Ipotesi!$C$25,0)+IF(AF2=Ipotesi!$C$28,Ipotesi!$C$27,0)</f>
        <v>945</v>
      </c>
      <c r="AG21" s="5" t="n">
        <f aca="false">IF(AG3=1,Ipotesi!$C$22+Ipotesi!$C$23+Ipotesi!$C$29,Ipotesi!$C$21)+IF(AG2&gt;=Ipotesi!$C$26,Ipotesi!$C$24+Ipotesi!$C$25,0)+IF(AG2=Ipotesi!$C$28,Ipotesi!$C$27,0)</f>
        <v>945</v>
      </c>
      <c r="AH21" s="5" t="n">
        <f aca="false">IF(AH3=1,Ipotesi!$C$22+Ipotesi!$C$23+Ipotesi!$C$29,Ipotesi!$C$21)+IF(AH2&gt;=Ipotesi!$C$26,Ipotesi!$C$24+Ipotesi!$C$25,0)+IF(AH2=Ipotesi!$C$28,Ipotesi!$C$27,0)</f>
        <v>945</v>
      </c>
      <c r="AI21" s="5" t="n">
        <f aca="false">IF(AI3=1,Ipotesi!$C$22+Ipotesi!$C$23+Ipotesi!$C$29,Ipotesi!$C$21)+IF(AI2&gt;=Ipotesi!$C$26,Ipotesi!$C$24+Ipotesi!$C$25,0)+IF(AI2=Ipotesi!$C$28,Ipotesi!$C$27,0)</f>
        <v>945</v>
      </c>
      <c r="AJ21" s="5" t="n">
        <f aca="false">IF(AJ3=1,Ipotesi!$C$22+Ipotesi!$C$23+Ipotesi!$C$29,Ipotesi!$C$21)+IF(AJ2&gt;=Ipotesi!$C$26,Ipotesi!$C$24+Ipotesi!$C$25,0)+IF(AJ2=Ipotesi!$C$28,Ipotesi!$C$27,0)</f>
        <v>945</v>
      </c>
      <c r="AK21" s="5" t="n">
        <f aca="false">IF(AK3=1,Ipotesi!$C$22+Ipotesi!$C$23+Ipotesi!$C$29,Ipotesi!$C$21)+IF(AK2&gt;=Ipotesi!$C$26,Ipotesi!$C$24+Ipotesi!$C$25,0)+IF(AK2=Ipotesi!$C$28,Ipotesi!$C$27,0)</f>
        <v>945</v>
      </c>
    </row>
    <row r="22" customFormat="false" ht="15" hidden="false" customHeight="false" outlineLevel="0" collapsed="false">
      <c r="A22" s="0" t="s">
        <v>101</v>
      </c>
      <c r="B22" s="5" t="n">
        <f aca="false">B3*Ipotesi!$F$44+IF(AND(Ipotesi!$F$45&gt;0,B10&gt;=Ipotesi!$F$45),Ipotesi!$F$46,0)</f>
        <v>0</v>
      </c>
      <c r="C22" s="5" t="n">
        <f aca="false">C3*Ipotesi!$F$44+IF(AND(Ipotesi!$F$45&gt;0,C10&gt;=Ipotesi!$F$45),Ipotesi!$F$46,0)</f>
        <v>0</v>
      </c>
      <c r="D22" s="5" t="n">
        <f aca="false">D3*Ipotesi!$F$44+IF(AND(Ipotesi!$F$45&gt;0,D10&gt;=Ipotesi!$F$45),Ipotesi!$F$46,0)</f>
        <v>0</v>
      </c>
      <c r="E22" s="5" t="n">
        <f aca="false">E3*Ipotesi!$F$44+IF(AND(Ipotesi!$F$45&gt;0,E10&gt;=Ipotesi!$F$45),Ipotesi!$F$46,0)</f>
        <v>0</v>
      </c>
      <c r="F22" s="5" t="n">
        <f aca="false">F3*Ipotesi!$F$44+IF(AND(Ipotesi!$F$45&gt;0,F10&gt;=Ipotesi!$F$45),Ipotesi!$F$46,0)</f>
        <v>0</v>
      </c>
      <c r="G22" s="5" t="n">
        <f aca="false">G3*Ipotesi!$F$44+IF(AND(Ipotesi!$F$45&gt;0,G10&gt;=Ipotesi!$F$45),Ipotesi!$F$46,0)</f>
        <v>0</v>
      </c>
      <c r="H22" s="5" t="n">
        <f aca="false">H3*Ipotesi!$F$44+IF(AND(Ipotesi!$F$45&gt;0,H10&gt;=Ipotesi!$F$45),Ipotesi!$F$46,0)</f>
        <v>0</v>
      </c>
      <c r="I22" s="5" t="n">
        <f aca="false">I3*Ipotesi!$F$44+IF(AND(Ipotesi!$F$45&gt;0,I10&gt;=Ipotesi!$F$45),Ipotesi!$F$46,0)</f>
        <v>0</v>
      </c>
      <c r="J22" s="5" t="n">
        <f aca="false">J3*Ipotesi!$F$44+IF(AND(Ipotesi!$F$45&gt;0,J10&gt;=Ipotesi!$F$45),Ipotesi!$F$46,0)</f>
        <v>0</v>
      </c>
      <c r="K22" s="5" t="n">
        <f aca="false">K3*Ipotesi!$F$44+IF(AND(Ipotesi!$F$45&gt;0,K10&gt;=Ipotesi!$F$45),Ipotesi!$F$46,0)</f>
        <v>0</v>
      </c>
      <c r="L22" s="5" t="n">
        <f aca="false">L3*Ipotesi!$F$44+IF(AND(Ipotesi!$F$45&gt;0,L10&gt;=Ipotesi!$F$45),Ipotesi!$F$46,0)</f>
        <v>0</v>
      </c>
      <c r="M22" s="5" t="n">
        <f aca="false">M3*Ipotesi!$F$44+IF(AND(Ipotesi!$F$45&gt;0,M10&gt;=Ipotesi!$F$45),Ipotesi!$F$46,0)</f>
        <v>0</v>
      </c>
      <c r="N22" s="5" t="n">
        <f aca="false">N3*Ipotesi!$F$44+IF(AND(Ipotesi!$F$45&gt;0,N10&gt;=Ipotesi!$F$45),Ipotesi!$F$46,0)</f>
        <v>0</v>
      </c>
      <c r="O22" s="5" t="n">
        <f aca="false">O3*Ipotesi!$F$44+IF(AND(Ipotesi!$F$45&gt;0,O10&gt;=Ipotesi!$F$45),Ipotesi!$F$46,0)</f>
        <v>0</v>
      </c>
      <c r="P22" s="5" t="n">
        <f aca="false">P3*Ipotesi!$F$44+IF(AND(Ipotesi!$F$45&gt;0,P10&gt;=Ipotesi!$F$45),Ipotesi!$F$46,0)</f>
        <v>0</v>
      </c>
      <c r="Q22" s="5" t="n">
        <f aca="false">Q3*Ipotesi!$F$44+IF(AND(Ipotesi!$F$45&gt;0,Q10&gt;=Ipotesi!$F$45),Ipotesi!$F$46,0)</f>
        <v>0</v>
      </c>
      <c r="R22" s="5" t="n">
        <f aca="false">R3*Ipotesi!$F$44+IF(AND(Ipotesi!$F$45&gt;0,R10&gt;=Ipotesi!$F$45),Ipotesi!$F$46,0)</f>
        <v>0</v>
      </c>
      <c r="S22" s="5" t="n">
        <f aca="false">S3*Ipotesi!$F$44+IF(AND(Ipotesi!$F$45&gt;0,S10&gt;=Ipotesi!$F$45),Ipotesi!$F$46,0)</f>
        <v>0</v>
      </c>
      <c r="T22" s="5" t="n">
        <f aca="false">T3*Ipotesi!$F$44+IF(AND(Ipotesi!$F$45&gt;0,T10&gt;=Ipotesi!$F$45),Ipotesi!$F$46,0)</f>
        <v>0</v>
      </c>
      <c r="U22" s="5" t="n">
        <f aca="false">U3*Ipotesi!$F$44+IF(AND(Ipotesi!$F$45&gt;0,U10&gt;=Ipotesi!$F$45),Ipotesi!$F$46,0)</f>
        <v>0</v>
      </c>
      <c r="V22" s="5" t="n">
        <f aca="false">V3*Ipotesi!$F$44+IF(AND(Ipotesi!$F$45&gt;0,V10&gt;=Ipotesi!$F$45),Ipotesi!$F$46,0)</f>
        <v>0</v>
      </c>
      <c r="W22" s="5" t="n">
        <f aca="false">W3*Ipotesi!$F$44+IF(AND(Ipotesi!$F$45&gt;0,W10&gt;=Ipotesi!$F$45),Ipotesi!$F$46,0)</f>
        <v>0</v>
      </c>
      <c r="X22" s="5" t="n">
        <f aca="false">X3*Ipotesi!$F$44+IF(AND(Ipotesi!$F$45&gt;0,X10&gt;=Ipotesi!$F$45),Ipotesi!$F$46,0)</f>
        <v>0</v>
      </c>
      <c r="Y22" s="5" t="n">
        <f aca="false">Y3*Ipotesi!$F$44+IF(AND(Ipotesi!$F$45&gt;0,Y10&gt;=Ipotesi!$F$45),Ipotesi!$F$46,0)</f>
        <v>0</v>
      </c>
      <c r="Z22" s="5" t="n">
        <f aca="false">Z3*Ipotesi!$F$44+IF(AND(Ipotesi!$F$45&gt;0,Z10&gt;=Ipotesi!$F$45),Ipotesi!$F$46,0)</f>
        <v>0</v>
      </c>
      <c r="AA22" s="5" t="n">
        <f aca="false">AA3*Ipotesi!$F$44+IF(AND(Ipotesi!$F$45&gt;0,AA10&gt;=Ipotesi!$F$45),Ipotesi!$F$46,0)</f>
        <v>0</v>
      </c>
      <c r="AB22" s="5" t="n">
        <f aca="false">AB3*Ipotesi!$F$44+IF(AND(Ipotesi!$F$45&gt;0,AB10&gt;=Ipotesi!$F$45),Ipotesi!$F$46,0)</f>
        <v>0</v>
      </c>
      <c r="AC22" s="5" t="n">
        <f aca="false">AC3*Ipotesi!$F$44+IF(AND(Ipotesi!$F$45&gt;0,AC10&gt;=Ipotesi!$F$45),Ipotesi!$F$46,0)</f>
        <v>0</v>
      </c>
      <c r="AD22" s="5" t="n">
        <f aca="false">AD3*Ipotesi!$F$44+IF(AND(Ipotesi!$F$45&gt;0,AD10&gt;=Ipotesi!$F$45),Ipotesi!$F$46,0)</f>
        <v>0</v>
      </c>
      <c r="AE22" s="5" t="n">
        <f aca="false">AE3*Ipotesi!$F$44+IF(AND(Ipotesi!$F$45&gt;0,AE10&gt;=Ipotesi!$F$45),Ipotesi!$F$46,0)</f>
        <v>0</v>
      </c>
      <c r="AF22" s="5" t="n">
        <f aca="false">AF3*Ipotesi!$F$44+IF(AND(Ipotesi!$F$45&gt;0,AF10&gt;=Ipotesi!$F$45),Ipotesi!$F$46,0)</f>
        <v>0</v>
      </c>
      <c r="AG22" s="5" t="n">
        <f aca="false">AG3*Ipotesi!$F$44+IF(AND(Ipotesi!$F$45&gt;0,AG10&gt;=Ipotesi!$F$45),Ipotesi!$F$46,0)</f>
        <v>0</v>
      </c>
      <c r="AH22" s="5" t="n">
        <f aca="false">AH3*Ipotesi!$F$44+IF(AND(Ipotesi!$F$45&gt;0,AH10&gt;=Ipotesi!$F$45),Ipotesi!$F$46,0)</f>
        <v>0</v>
      </c>
      <c r="AI22" s="5" t="n">
        <f aca="false">AI3*Ipotesi!$F$44+IF(AND(Ipotesi!$F$45&gt;0,AI10&gt;=Ipotesi!$F$45),Ipotesi!$F$46,0)</f>
        <v>0</v>
      </c>
      <c r="AJ22" s="5" t="n">
        <f aca="false">AJ3*Ipotesi!$F$44+IF(AND(Ipotesi!$F$45&gt;0,AJ10&gt;=Ipotesi!$F$45),Ipotesi!$F$46,0)</f>
        <v>3000</v>
      </c>
      <c r="AK22" s="5" t="n">
        <f aca="false">AK3*Ipotesi!$F$44+IF(AND(Ipotesi!$F$45&gt;0,AK10&gt;=Ipotesi!$F$45),Ipotesi!$F$46,0)</f>
        <v>3000</v>
      </c>
    </row>
    <row r="23" customFormat="false" ht="15" hidden="false" customHeight="false" outlineLevel="0" collapsed="false">
      <c r="A23" s="1" t="s">
        <v>102</v>
      </c>
      <c r="B23" s="5" t="n">
        <f aca="false">B20-B21-B22</f>
        <v>-205</v>
      </c>
      <c r="C23" s="5" t="n">
        <f aca="false">C20-C21-C22</f>
        <v>-455</v>
      </c>
      <c r="D23" s="5" t="n">
        <f aca="false">D20-D21-D22</f>
        <v>-6455</v>
      </c>
      <c r="E23" s="5" t="n">
        <f aca="false">E20-E21-E22</f>
        <v>-455</v>
      </c>
      <c r="F23" s="5" t="n">
        <f aca="false">F20-F21-F22</f>
        <v>-455</v>
      </c>
      <c r="G23" s="5" t="n">
        <f aca="false">G20-G21-G22</f>
        <v>-455</v>
      </c>
      <c r="H23" s="5" t="n">
        <f aca="false">H20-H21-H22</f>
        <v>-295</v>
      </c>
      <c r="I23" s="5" t="n">
        <f aca="false">I20-I21-I22</f>
        <v>-295</v>
      </c>
      <c r="J23" s="5" t="n">
        <f aca="false">J20-J21-J22</f>
        <v>-214.12</v>
      </c>
      <c r="K23" s="5" t="n">
        <f aca="false">K20-K21-K22</f>
        <v>-1.84000000000015</v>
      </c>
      <c r="L23" s="5" t="n">
        <f aca="false">L20-L21-L22</f>
        <v>206.498</v>
      </c>
      <c r="M23" s="5" t="n">
        <f aca="false">M20-M21-M22</f>
        <v>411.01226</v>
      </c>
      <c r="N23" s="5" t="n">
        <f aca="false">N20-N21-N22</f>
        <v>611.817492199999</v>
      </c>
      <c r="O23" s="5" t="n">
        <f aca="false">O20-O21-O22</f>
        <v>809.024967434</v>
      </c>
      <c r="P23" s="5" t="n">
        <f aca="false">P20-P21-P22</f>
        <v>1002.74261841098</v>
      </c>
      <c r="Q23" s="5" t="n">
        <f aca="false">Q20-Q21-Q22</f>
        <v>1193.07513985865</v>
      </c>
      <c r="R23" s="5" t="n">
        <f aca="false">R20-R21-R22</f>
        <v>1380.12408566289</v>
      </c>
      <c r="S23" s="5" t="n">
        <f aca="false">S20-S21-S22</f>
        <v>1563.987963093</v>
      </c>
      <c r="T23" s="5" t="n">
        <f aca="false">T20-T21-T22</f>
        <v>1744.76232420021</v>
      </c>
      <c r="U23" s="5" t="n">
        <f aca="false">U20-U21-U22</f>
        <v>1922.53985447421</v>
      </c>
      <c r="V23" s="5" t="n">
        <f aca="false">V20-V21-V22</f>
        <v>2097.41045883998</v>
      </c>
      <c r="W23" s="5" t="n">
        <f aca="false">W20-W21-W22</f>
        <v>2269.46134507478</v>
      </c>
      <c r="X23" s="5" t="n">
        <f aca="false">X20-X21-X22</f>
        <v>2438.77710472254</v>
      </c>
      <c r="Y23" s="5" t="n">
        <f aca="false">Y20-Y21-Y22</f>
        <v>2524.55979158086</v>
      </c>
      <c r="Z23" s="5" t="n">
        <f aca="false">Z20-Z21-Z22</f>
        <v>2912.16899783344</v>
      </c>
      <c r="AA23" s="5" t="n">
        <f aca="false">AA20-AA21-AA22</f>
        <v>3294.23792789843</v>
      </c>
      <c r="AB23" s="5" t="n">
        <f aca="false">AB20-AB21-AB22</f>
        <v>3670.87191006148</v>
      </c>
      <c r="AC23" s="5" t="n">
        <f aca="false">AC20-AC21-AC22</f>
        <v>4042.17372155963</v>
      </c>
      <c r="AD23" s="5" t="n">
        <f aca="false">AD20-AD21-AD22</f>
        <v>4408.24365902485</v>
      </c>
      <c r="AE23" s="5" t="n">
        <f aca="false">AE20-AE21-AE22</f>
        <v>4769.17960687498</v>
      </c>
      <c r="AF23" s="5" t="n">
        <f aca="false">AF20-AF21-AF22</f>
        <v>5125.0771037134</v>
      </c>
      <c r="AG23" s="5" t="n">
        <f aca="false">AG20-AG21-AG22</f>
        <v>5476.02940679623</v>
      </c>
      <c r="AH23" s="5" t="n">
        <f aca="false">AH20-AH21-AH22</f>
        <v>5822.12755462462</v>
      </c>
      <c r="AI23" s="5" t="n">
        <f aca="false">AI20-AI21-AI22</f>
        <v>6163.46042771784</v>
      </c>
      <c r="AJ23" s="5" t="n">
        <f aca="false">AJ20-AJ21-AJ22</f>
        <v>3500.11480762095</v>
      </c>
      <c r="AK23" s="5" t="n">
        <f aca="false">AK20-AK21-AK22</f>
        <v>3832.17543419961</v>
      </c>
    </row>
    <row r="24" customFormat="false" ht="15" hidden="false" customHeight="false" outlineLevel="0" collapsed="false">
      <c r="A24" s="0" t="s">
        <v>103</v>
      </c>
      <c r="B24" s="5" t="n">
        <f aca="false">IF(AND(B3=1,MOD(B2-Ipotesi!$F$32,12)=0),B4*Ipotesi!$C$11*12,0)-B4*Ipotesi!$C$11</f>
        <v>0</v>
      </c>
      <c r="C24" s="5" t="n">
        <f aca="false">IF(AND(C3=1,MOD(C2-Ipotesi!$F$32,12)=0),C4*Ipotesi!$C$11*12,0)-C4*Ipotesi!$C$11</f>
        <v>0</v>
      </c>
      <c r="D24" s="5" t="n">
        <f aca="false">IF(AND(D3=1,MOD(D2-Ipotesi!$F$32,12)=0),D4*Ipotesi!$C$11*12,0)-D4*Ipotesi!$C$11</f>
        <v>0</v>
      </c>
      <c r="E24" s="5" t="n">
        <f aca="false">IF(AND(E3=1,MOD(E2-Ipotesi!$F$32,12)=0),E4*Ipotesi!$C$11*12,0)-E4*Ipotesi!$C$11</f>
        <v>0</v>
      </c>
      <c r="F24" s="5" t="n">
        <f aca="false">IF(AND(F3=1,MOD(F2-Ipotesi!$F$32,12)=0),F4*Ipotesi!$C$11*12,0)-F4*Ipotesi!$C$11</f>
        <v>0</v>
      </c>
      <c r="G24" s="5" t="n">
        <f aca="false">IF(AND(G3=1,MOD(G2-Ipotesi!$F$32,12)=0),G4*Ipotesi!$C$11*12,0)-G4*Ipotesi!$C$11</f>
        <v>0</v>
      </c>
      <c r="H24" s="5" t="n">
        <f aca="false">IF(AND(H3=1,MOD(H2-Ipotesi!$F$32,12)=0),H4*Ipotesi!$C$11*12,0)-H4*Ipotesi!$C$11</f>
        <v>19030</v>
      </c>
      <c r="I24" s="5" t="n">
        <f aca="false">IF(AND(I3=1,MOD(I2-Ipotesi!$F$32,12)=0),I4*Ipotesi!$C$11*12,0)-I4*Ipotesi!$C$11</f>
        <v>-1730</v>
      </c>
      <c r="J24" s="5" t="n">
        <f aca="false">IF(AND(J3=1,MOD(J2-Ipotesi!$F$32,12)=0),J4*Ipotesi!$C$11*12,0)-J4*Ipotesi!$C$11</f>
        <v>-1730</v>
      </c>
      <c r="K24" s="5" t="n">
        <f aca="false">IF(AND(K3=1,MOD(K2-Ipotesi!$F$32,12)=0),K4*Ipotesi!$C$11*12,0)-K4*Ipotesi!$C$11</f>
        <v>-1730</v>
      </c>
      <c r="L24" s="5" t="n">
        <f aca="false">IF(AND(L3=1,MOD(L2-Ipotesi!$F$32,12)=0),L4*Ipotesi!$C$11*12,0)-L4*Ipotesi!$C$11</f>
        <v>-1730</v>
      </c>
      <c r="M24" s="5" t="n">
        <f aca="false">IF(AND(M3=1,MOD(M2-Ipotesi!$F$32,12)=0),M4*Ipotesi!$C$11*12,0)-M4*Ipotesi!$C$11</f>
        <v>-1730</v>
      </c>
      <c r="N24" s="5" t="n">
        <f aca="false">IF(AND(N3=1,MOD(N2-Ipotesi!$F$32,12)=0),N4*Ipotesi!$C$11*12,0)-N4*Ipotesi!$C$11</f>
        <v>-1730</v>
      </c>
      <c r="O24" s="5" t="n">
        <f aca="false">IF(AND(O3=1,MOD(O2-Ipotesi!$F$32,12)=0),O4*Ipotesi!$C$11*12,0)-O4*Ipotesi!$C$11</f>
        <v>-1730</v>
      </c>
      <c r="P24" s="5" t="n">
        <f aca="false">IF(AND(P3=1,MOD(P2-Ipotesi!$F$32,12)=0),P4*Ipotesi!$C$11*12,0)-P4*Ipotesi!$C$11</f>
        <v>-1730</v>
      </c>
      <c r="Q24" s="5" t="n">
        <f aca="false">IF(AND(Q3=1,MOD(Q2-Ipotesi!$F$32,12)=0),Q4*Ipotesi!$C$11*12,0)-Q4*Ipotesi!$C$11</f>
        <v>-1730</v>
      </c>
      <c r="R24" s="5" t="n">
        <f aca="false">IF(AND(R3=1,MOD(R2-Ipotesi!$F$32,12)=0),R4*Ipotesi!$C$11*12,0)-R4*Ipotesi!$C$11</f>
        <v>-1730</v>
      </c>
      <c r="S24" s="5" t="n">
        <f aca="false">IF(AND(S3=1,MOD(S2-Ipotesi!$F$32,12)=0),S4*Ipotesi!$C$11*12,0)-S4*Ipotesi!$C$11</f>
        <v>-1730</v>
      </c>
      <c r="T24" s="5" t="n">
        <f aca="false">IF(AND(T3=1,MOD(T2-Ipotesi!$F$32,12)=0),T4*Ipotesi!$C$11*12,0)-T4*Ipotesi!$C$11</f>
        <v>19030</v>
      </c>
      <c r="U24" s="5" t="n">
        <f aca="false">IF(AND(U3=1,MOD(U2-Ipotesi!$F$32,12)=0),U4*Ipotesi!$C$11*12,0)-U4*Ipotesi!$C$11</f>
        <v>-1730</v>
      </c>
      <c r="V24" s="5" t="n">
        <f aca="false">IF(AND(V3=1,MOD(V2-Ipotesi!$F$32,12)=0),V4*Ipotesi!$C$11*12,0)-V4*Ipotesi!$C$11</f>
        <v>-1730</v>
      </c>
      <c r="W24" s="5" t="n">
        <f aca="false">IF(AND(W3=1,MOD(W2-Ipotesi!$F$32,12)=0),W4*Ipotesi!$C$11*12,0)-W4*Ipotesi!$C$11</f>
        <v>-1730</v>
      </c>
      <c r="X24" s="5" t="n">
        <f aca="false">IF(AND(X3=1,MOD(X2-Ipotesi!$F$32,12)=0),X4*Ipotesi!$C$11*12,0)-X4*Ipotesi!$C$11</f>
        <v>-1730</v>
      </c>
      <c r="Y24" s="5" t="n">
        <f aca="false">IF(AND(Y3=1,MOD(Y2-Ipotesi!$F$32,12)=0),Y4*Ipotesi!$C$11*12,0)-Y4*Ipotesi!$C$11</f>
        <v>-1730</v>
      </c>
      <c r="Z24" s="5" t="n">
        <f aca="false">IF(AND(Z3=1,MOD(Z2-Ipotesi!$F$32,12)=0),Z4*Ipotesi!$C$11*12,0)-Z4*Ipotesi!$C$11</f>
        <v>-1730</v>
      </c>
      <c r="AA24" s="5" t="n">
        <f aca="false">IF(AND(AA3=1,MOD(AA2-Ipotesi!$F$32,12)=0),AA4*Ipotesi!$C$11*12,0)-AA4*Ipotesi!$C$11</f>
        <v>-1730</v>
      </c>
      <c r="AB24" s="5" t="n">
        <f aca="false">IF(AND(AB3=1,MOD(AB2-Ipotesi!$F$32,12)=0),AB4*Ipotesi!$C$11*12,0)-AB4*Ipotesi!$C$11</f>
        <v>-1730</v>
      </c>
      <c r="AC24" s="5" t="n">
        <f aca="false">IF(AND(AC3=1,MOD(AC2-Ipotesi!$F$32,12)=0),AC4*Ipotesi!$C$11*12,0)-AC4*Ipotesi!$C$11</f>
        <v>-1730</v>
      </c>
      <c r="AD24" s="5" t="n">
        <f aca="false">IF(AND(AD3=1,MOD(AD2-Ipotesi!$F$32,12)=0),AD4*Ipotesi!$C$11*12,0)-AD4*Ipotesi!$C$11</f>
        <v>-1730</v>
      </c>
      <c r="AE24" s="5" t="n">
        <f aca="false">IF(AND(AE3=1,MOD(AE2-Ipotesi!$F$32,12)=0),AE4*Ipotesi!$C$11*12,0)-AE4*Ipotesi!$C$11</f>
        <v>-1730</v>
      </c>
      <c r="AF24" s="5" t="n">
        <f aca="false">IF(AND(AF3=1,MOD(AF2-Ipotesi!$F$32,12)=0),AF4*Ipotesi!$C$11*12,0)-AF4*Ipotesi!$C$11</f>
        <v>19030</v>
      </c>
      <c r="AG24" s="5" t="n">
        <f aca="false">IF(AND(AG3=1,MOD(AG2-Ipotesi!$F$32,12)=0),AG4*Ipotesi!$C$11*12,0)-AG4*Ipotesi!$C$11</f>
        <v>-1730</v>
      </c>
      <c r="AH24" s="5" t="n">
        <f aca="false">IF(AND(AH3=1,MOD(AH2-Ipotesi!$F$32,12)=0),AH4*Ipotesi!$C$11*12,0)-AH4*Ipotesi!$C$11</f>
        <v>-1730</v>
      </c>
      <c r="AI24" s="5" t="n">
        <f aca="false">IF(AND(AI3=1,MOD(AI2-Ipotesi!$F$32,12)=0),AI4*Ipotesi!$C$11*12,0)-AI4*Ipotesi!$C$11</f>
        <v>-1730</v>
      </c>
      <c r="AJ24" s="5" t="n">
        <f aca="false">IF(AND(AJ3=1,MOD(AJ2-Ipotesi!$F$32,12)=0),AJ4*Ipotesi!$C$11*12,0)-AJ4*Ipotesi!$C$11</f>
        <v>-1730</v>
      </c>
      <c r="AK24" s="5" t="n">
        <f aca="false">IF(AND(AK3=1,MOD(AK2-Ipotesi!$F$32,12)=0),AK4*Ipotesi!$C$11*12,0)-AK4*Ipotesi!$C$11</f>
        <v>-1730</v>
      </c>
    </row>
    <row r="25" customFormat="false" ht="15" hidden="false" customHeight="false" outlineLevel="0" collapsed="false">
      <c r="A25" s="0" t="s">
        <v>104</v>
      </c>
      <c r="B25" s="5" t="n">
        <f aca="false">0+B23+B24</f>
        <v>-205</v>
      </c>
      <c r="C25" s="5" t="n">
        <f aca="false">B25+C23+C24</f>
        <v>-660</v>
      </c>
      <c r="D25" s="5" t="n">
        <f aca="false">C25+D23+D24</f>
        <v>-7115</v>
      </c>
      <c r="E25" s="5" t="n">
        <f aca="false">D25+E23+E24</f>
        <v>-7570</v>
      </c>
      <c r="F25" s="5" t="n">
        <f aca="false">E25+F23+F24</f>
        <v>-8025</v>
      </c>
      <c r="G25" s="5" t="n">
        <f aca="false">F25+G23+G24</f>
        <v>-8480</v>
      </c>
      <c r="H25" s="5" t="n">
        <f aca="false">G25+H23+H24</f>
        <v>10255</v>
      </c>
      <c r="I25" s="5" t="n">
        <f aca="false">H25+I23+I24</f>
        <v>8230</v>
      </c>
      <c r="J25" s="5" t="n">
        <f aca="false">I25+J23+J24</f>
        <v>6285.88</v>
      </c>
      <c r="K25" s="5" t="n">
        <f aca="false">J25+K23+K24</f>
        <v>4554.04</v>
      </c>
      <c r="L25" s="5" t="n">
        <f aca="false">K25+L23+L24</f>
        <v>3030.538</v>
      </c>
      <c r="M25" s="5" t="n">
        <f aca="false">L25+M23+M24</f>
        <v>1711.55026</v>
      </c>
      <c r="N25" s="5" t="n">
        <f aca="false">M25+N23+N24</f>
        <v>593.367752199999</v>
      </c>
      <c r="O25" s="5" t="n">
        <f aca="false">N25+O23+O24</f>
        <v>-327.607280366001</v>
      </c>
      <c r="P25" s="5" t="n">
        <f aca="false">O25+P23+P24</f>
        <v>-1054.86466195502</v>
      </c>
      <c r="Q25" s="5" t="n">
        <f aca="false">P25+Q23+Q24</f>
        <v>-1591.78952209637</v>
      </c>
      <c r="R25" s="5" t="n">
        <f aca="false">Q25+R23+R24</f>
        <v>-1941.66543643348</v>
      </c>
      <c r="S25" s="5" t="n">
        <f aca="false">R25+S23+S24</f>
        <v>-2107.67747334047</v>
      </c>
      <c r="T25" s="5" t="n">
        <f aca="false">S25+T23+T24</f>
        <v>18667.0848508597</v>
      </c>
      <c r="U25" s="5" t="n">
        <f aca="false">T25+U23+U24</f>
        <v>18859.6247053339</v>
      </c>
      <c r="V25" s="5" t="n">
        <f aca="false">U25+V23+V24</f>
        <v>19227.0351641739</v>
      </c>
      <c r="W25" s="5" t="n">
        <f aca="false">V25+W23+W24</f>
        <v>19766.4965092487</v>
      </c>
      <c r="X25" s="5" t="n">
        <f aca="false">W25+X23+X24</f>
        <v>20475.2736139713</v>
      </c>
      <c r="Y25" s="5" t="n">
        <f aca="false">X25+Y23+Y24</f>
        <v>21269.8334055521</v>
      </c>
      <c r="Z25" s="5" t="n">
        <f aca="false">Y25+Z23+Z24</f>
        <v>22452.0024033855</v>
      </c>
      <c r="AA25" s="5" t="n">
        <f aca="false">Z25+AA23+AA24</f>
        <v>24016.240331284</v>
      </c>
      <c r="AB25" s="5" t="n">
        <f aca="false">AA25+AB23+AB24</f>
        <v>25957.1122413455</v>
      </c>
      <c r="AC25" s="5" t="n">
        <f aca="false">AB25+AC23+AC24</f>
        <v>28269.2859629051</v>
      </c>
      <c r="AD25" s="5" t="n">
        <f aca="false">AC25+AD23+AD24</f>
        <v>30947.5296219299</v>
      </c>
      <c r="AE25" s="5" t="n">
        <f aca="false">AD25+AE23+AE24</f>
        <v>33986.7092288049</v>
      </c>
      <c r="AF25" s="5" t="n">
        <f aca="false">AE25+AF23+AF24</f>
        <v>58141.7863325183</v>
      </c>
      <c r="AG25" s="5" t="n">
        <f aca="false">AF25+AG23+AG24</f>
        <v>61887.8157393145</v>
      </c>
      <c r="AH25" s="5" t="n">
        <f aca="false">AG25+AH23+AH24</f>
        <v>65979.9432939392</v>
      </c>
      <c r="AI25" s="5" t="n">
        <f aca="false">AH25+AI23+AI24</f>
        <v>70413.403721657</v>
      </c>
      <c r="AJ25" s="5" t="n">
        <f aca="false">AI25+AJ23+AJ24</f>
        <v>72183.518529278</v>
      </c>
      <c r="AK25" s="5" t="n">
        <f aca="false">AJ25+AK23+AK24</f>
        <v>74285.6939634776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22"/>
  </cols>
  <sheetData>
    <row r="1" customFormat="false" ht="15" hidden="false" customHeight="false" outlineLevel="0" collapsed="false">
      <c r="A1" s="1" t="s">
        <v>105</v>
      </c>
    </row>
    <row r="2" customFormat="false" ht="15" hidden="false" customHeight="false" outlineLevel="0" collapsed="false">
      <c r="B2" s="1" t="s">
        <v>106</v>
      </c>
      <c r="C2" s="1" t="s">
        <v>107</v>
      </c>
      <c r="D2" s="1" t="s">
        <v>108</v>
      </c>
    </row>
    <row r="3" customFormat="false" ht="15" hidden="false" customHeight="false" outlineLevel="0" collapsed="false">
      <c r="A3" s="0" t="s">
        <v>109</v>
      </c>
      <c r="B3" s="5" t="n">
        <f aca="false">Mensile!M10</f>
        <v>346</v>
      </c>
      <c r="C3" s="5" t="n">
        <f aca="false">Mensile!Y10</f>
        <v>610</v>
      </c>
      <c r="D3" s="5" t="n">
        <f aca="false">Mensile!AK10</f>
        <v>1064.46051313548</v>
      </c>
    </row>
    <row r="4" customFormat="false" ht="15" hidden="false" customHeight="false" outlineLevel="0" collapsed="false">
      <c r="A4" s="0" t="s">
        <v>110</v>
      </c>
      <c r="B4" s="5" t="n">
        <f aca="false">Mensile!M7</f>
        <v>17.4654</v>
      </c>
      <c r="C4" s="5" t="n">
        <f aca="false">Mensile!Y7</f>
        <v>73.3497621726421</v>
      </c>
      <c r="D4" s="5" t="n">
        <f aca="false">Mensile!AK7</f>
        <v>112.124699965232</v>
      </c>
    </row>
    <row r="5" customFormat="false" ht="15" hidden="false" customHeight="false" outlineLevel="0" collapsed="false">
      <c r="A5" s="0" t="s">
        <v>111</v>
      </c>
      <c r="B5" s="5" t="n">
        <f aca="false">SUM(Mensile!B15:M15)</f>
        <v>19745.6766</v>
      </c>
      <c r="C5" s="5" t="n">
        <f aca="false">SUM(Mensile!N15:Y15)</f>
        <v>81759.0964027859</v>
      </c>
      <c r="D5" s="5" t="n">
        <f aca="false">SUM(Mensile!Z15:AK15)</f>
        <v>157131.371323623</v>
      </c>
    </row>
    <row r="6" customFormat="false" ht="15" hidden="false" customHeight="false" outlineLevel="0" collapsed="false">
      <c r="A6" s="0" t="s">
        <v>112</v>
      </c>
      <c r="B6" s="5" t="n">
        <f aca="false">SUM(Mensile!B20:M20)</f>
        <v>5481.55026</v>
      </c>
      <c r="C6" s="5" t="n">
        <f aca="false">SUM(Mensile!N20:Y20)</f>
        <v>30898.2831455521</v>
      </c>
      <c r="D6" s="5" t="n">
        <f aca="false">SUM(Mensile!Z20:AK20)</f>
        <v>70355.8605579255</v>
      </c>
    </row>
    <row r="7" customFormat="false" ht="15" hidden="false" customHeight="false" outlineLevel="0" collapsed="false">
      <c r="A7" s="0" t="s">
        <v>16</v>
      </c>
      <c r="B7" s="5" t="n">
        <f aca="false">SUM(Mensile!B21:M21)</f>
        <v>14150</v>
      </c>
      <c r="C7" s="5" t="n">
        <f aca="false">SUM(Mensile!N21:Y21)</f>
        <v>11340</v>
      </c>
      <c r="D7" s="5" t="n">
        <f aca="false">SUM(Mensile!Z21:AK21)</f>
        <v>11340</v>
      </c>
    </row>
    <row r="8" customFormat="false" ht="15" hidden="false" customHeight="false" outlineLevel="0" collapsed="false">
      <c r="A8" s="0" t="s">
        <v>101</v>
      </c>
      <c r="B8" s="5" t="n">
        <f aca="false">SUM(Mensile!B22:M22)</f>
        <v>0</v>
      </c>
      <c r="C8" s="5" t="n">
        <f aca="false">SUM(Mensile!N22:Y22)</f>
        <v>0</v>
      </c>
      <c r="D8" s="5" t="n">
        <f aca="false">SUM(Mensile!Z22:AK22)</f>
        <v>6000</v>
      </c>
    </row>
    <row r="9" customFormat="false" ht="15" hidden="false" customHeight="false" outlineLevel="0" collapsed="false">
      <c r="A9" s="0" t="s">
        <v>102</v>
      </c>
      <c r="B9" s="5" t="n">
        <f aca="false">SUM(Mensile!B23:M23)</f>
        <v>-8668.44974</v>
      </c>
      <c r="C9" s="5" t="n">
        <f aca="false">SUM(Mensile!N23:Y23)</f>
        <v>19558.2831455521</v>
      </c>
      <c r="D9" s="5" t="n">
        <f aca="false">SUM(Mensile!Z23:AK23)</f>
        <v>53015.8605579255</v>
      </c>
    </row>
    <row r="10" customFormat="false" ht="15" hidden="false" customHeight="false" outlineLevel="0" collapsed="false">
      <c r="A10" s="0" t="s">
        <v>113</v>
      </c>
      <c r="B10" s="5" t="n">
        <f aca="false">Mensile!M15</f>
        <v>4229.4566</v>
      </c>
      <c r="C10" s="5" t="n">
        <f aca="false">Mensile!Y15</f>
        <v>8690.74310300662</v>
      </c>
      <c r="D10" s="5" t="n">
        <f aca="false">Mensile!AK15</f>
        <v>16632.123996024</v>
      </c>
    </row>
    <row r="11" customFormat="false" ht="15" hidden="false" customHeight="false" outlineLevel="0" collapsed="false">
      <c r="A11" s="0" t="s">
        <v>114</v>
      </c>
      <c r="B11" s="5" t="n">
        <f aca="false">Mensile!M25</f>
        <v>1711.55026</v>
      </c>
      <c r="C11" s="5" t="n">
        <f aca="false">Mensile!Y25</f>
        <v>21269.8334055521</v>
      </c>
      <c r="D11" s="5" t="n">
        <f aca="false">Mensile!AK25</f>
        <v>74285.6939634776</v>
      </c>
    </row>
    <row r="13" customFormat="false" ht="15" hidden="false" customHeight="false" outlineLevel="0" collapsed="false">
      <c r="A13" s="0" t="s">
        <v>115</v>
      </c>
      <c r="B13" s="5" t="n">
        <f aca="false">MIN(0,MIN(Mensile!B25:AK25))</f>
        <v>-8480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2026-10-15T19:03:45Z</dcterms:created>
  <dc:creator>openpyxl</dc:creator>
  <dc:description/>
  <dc:language>en-US</dc:language>
  <cp:lastModifiedBy/>
  <dcterms:modified xsi:type="dcterms:W3CDTF">2026-10-15T19:03:45Z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