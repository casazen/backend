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potesi" sheetId="1" state="visible" r:id="rId3"/>
    <sheet name="Mensile" sheetId="2" state="visible" r:id="rId4"/>
    <sheet name="Sintesi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<sst xmlns="http://schemas.openxmlformats.org/spreadsheetml/2006/main" count="126" uniqueCount="122">
  <si>
    <t xml:space="preserve">CasaZen - modello economico 36 mesi (nov 2026 - ott 2029). Celle gialle = ipotesi modificabili.</t>
  </si>
  <si>
    <t xml:space="preserve">Fonti: PR #526 §5-§6 per prezzi e costi unitari; il resto è IPOTESI (vedi business-plan.md §10).</t>
  </si>
  <si>
    <t xml:space="preserve">Scenario attivo (1-3)</t>
  </si>
  <si>
    <t xml:space="preserve">Prezzi e costi unitari</t>
  </si>
  <si>
    <t xml:space="preserve">Listino tutto compreso 10-49 unità (€/unità)</t>
  </si>
  <si>
    <t xml:space="preserve">Listino tutto compreso 50-149 unità (€/unità)</t>
  </si>
  <si>
    <t xml:space="preserve">Listino tutto compreso 150-399 unità (€/unità)</t>
  </si>
  <si>
    <t xml:space="preserve">Verifiche d'identità per unità al mese</t>
  </si>
  <si>
    <t xml:space="preserve">Canone Founding Partner (€/unità)</t>
  </si>
  <si>
    <t xml:space="preserve">NextPax minimo mensile (€)</t>
  </si>
  <si>
    <t xml:space="preserve">Unità incluse nel minimo NextPax</t>
  </si>
  <si>
    <t xml:space="preserve">NextPax oltre il minimo (€/unità)</t>
  </si>
  <si>
    <t xml:space="preserve">SDI, AI, video (€/unità)</t>
  </si>
  <si>
    <t xml:space="preserve">Costo di una verifica (€)</t>
  </si>
  <si>
    <t xml:space="preserve">Canone B2C (€/host) - IPOTESI</t>
  </si>
  <si>
    <t xml:space="preserve">Unità medie per host B2C - IPOTESI</t>
  </si>
  <si>
    <t xml:space="preserve">Costi fissi</t>
  </si>
  <si>
    <t xml:space="preserve">Piattaforma prima del go-live (€/mese)</t>
  </si>
  <si>
    <t xml:space="preserve">Piattaforma in produzione, senza NextPax (€/mese)</t>
  </si>
  <si>
    <t xml:space="preserve">Vercel Pro (€/mese)</t>
  </si>
  <si>
    <t xml:space="preserve">Commercialista, PEC, banca (€/mese) - IPOTESI</t>
  </si>
  <si>
    <t xml:space="preserve">Assicurazioni (€/mese) - IPOTESI</t>
  </si>
  <si>
    <t xml:space="preserve">Mese da cui la società ha costi</t>
  </si>
  <si>
    <t xml:space="preserve">Pareri e contratti una tantum (€) - IPOTESI</t>
  </si>
  <si>
    <t xml:space="preserve">Mese della spesa una tantum</t>
  </si>
  <si>
    <t xml:space="preserve">Marketing e vendite dal go-live (€/mese) - IPOTESI</t>
  </si>
  <si>
    <t xml:space="preserve">Scenari</t>
  </si>
  <si>
    <t xml:space="preserve">A. Solo Quokka</t>
  </si>
  <si>
    <t xml:space="preserve">B. Ritardo</t>
  </si>
  <si>
    <t xml:space="preserve">C. Obiettivo</t>
  </si>
  <si>
    <t xml:space="preserve">Attivo</t>
  </si>
  <si>
    <t xml:space="preserve">Mese di avvio del pilota Quokka (99999 = mai)</t>
  </si>
  <si>
    <t xml:space="preserve">Unità Quokka a regime</t>
  </si>
  <si>
    <t xml:space="preserve">Unità del pilota</t>
  </si>
  <si>
    <t xml:space="preserve">Durata del pilota (mesi)</t>
  </si>
  <si>
    <t xml:space="preserve">Durata della migrazione dopo il pilota (mesi)</t>
  </si>
  <si>
    <t xml:space="preserve">Minimo NextPax solo da migrazione completa (1 = sì)</t>
  </si>
  <si>
    <t xml:space="preserve">Primo mese altri Founding Partner</t>
  </si>
  <si>
    <t xml:space="preserve">Posti Founding Partner oltre Quokka</t>
  </si>
  <si>
    <t xml:space="preserve">Nuovi Founding Partner al mese</t>
  </si>
  <si>
    <t xml:space="preserve">Primo mese agenzie a listino</t>
  </si>
  <si>
    <t xml:space="preserve">Nuove agenzie a listino al mese</t>
  </si>
  <si>
    <t xml:space="preserve">Unità medie per agenzia</t>
  </si>
  <si>
    <t xml:space="preserve">Churn mensile agenzie a listino</t>
  </si>
  <si>
    <t xml:space="preserve">Primo mese B2C a pagamento</t>
  </si>
  <si>
    <t xml:space="preserve">Nuovi host B2C al mese</t>
  </si>
  <si>
    <t xml:space="preserve">Churn mensile B2C</t>
  </si>
  <si>
    <t xml:space="preserve">Compenso fondatore dall'avvio del pilota (€/mese, costo azienda)</t>
  </si>
  <si>
    <t xml:space="preserve">Assunzione supporto oltre N unità B2B</t>
  </si>
  <si>
    <t xml:space="preserve">Costo supporto (€/mese)</t>
  </si>
  <si>
    <t xml:space="preserve">Mese</t>
  </si>
  <si>
    <t xml:space="preserve">nov 2026</t>
  </si>
  <si>
    <t xml:space="preserve">dic 2026</t>
  </si>
  <si>
    <t xml:space="preserve">gen 2027</t>
  </si>
  <si>
    <t xml:space="preserve">feb 2027</t>
  </si>
  <si>
    <t xml:space="preserve">mar 2027</t>
  </si>
  <si>
    <t xml:space="preserve">apr 2027</t>
  </si>
  <si>
    <t xml:space="preserve">mag 2027</t>
  </si>
  <si>
    <t xml:space="preserve">giu 2027</t>
  </si>
  <si>
    <t xml:space="preserve">lug 2027</t>
  </si>
  <si>
    <t xml:space="preserve">ago 2027</t>
  </si>
  <si>
    <t xml:space="preserve">set 2027</t>
  </si>
  <si>
    <t xml:space="preserve">ott 2027</t>
  </si>
  <si>
    <t xml:space="preserve">nov 2027</t>
  </si>
  <si>
    <t xml:space="preserve">dic 2027</t>
  </si>
  <si>
    <t xml:space="preserve">gen 2028</t>
  </si>
  <si>
    <t xml:space="preserve">feb 2028</t>
  </si>
  <si>
    <t xml:space="preserve">mar 2028</t>
  </si>
  <si>
    <t xml:space="preserve">apr 2028</t>
  </si>
  <si>
    <t xml:space="preserve">mag 2028</t>
  </si>
  <si>
    <t xml:space="preserve">giu 2028</t>
  </si>
  <si>
    <t xml:space="preserve">lug 2028</t>
  </si>
  <si>
    <t xml:space="preserve">ago 2028</t>
  </si>
  <si>
    <t xml:space="preserve">set 2028</t>
  </si>
  <si>
    <t xml:space="preserve">ott 2028</t>
  </si>
  <si>
    <t xml:space="preserve">nov 2028</t>
  </si>
  <si>
    <t xml:space="preserve">dic 2028</t>
  </si>
  <si>
    <t xml:space="preserve">gen 2029</t>
  </si>
  <si>
    <t xml:space="preserve">feb 2029</t>
  </si>
  <si>
    <t xml:space="preserve">mar 2029</t>
  </si>
  <si>
    <t xml:space="preserve">apr 2029</t>
  </si>
  <si>
    <t xml:space="preserve">mag 2029</t>
  </si>
  <si>
    <t xml:space="preserve">giu 2029</t>
  </si>
  <si>
    <t xml:space="preserve">lug 2029</t>
  </si>
  <si>
    <t xml:space="preserve">ago 2029</t>
  </si>
  <si>
    <t xml:space="preserve">set 2029</t>
  </si>
  <si>
    <t xml:space="preserve">ott 2029</t>
  </si>
  <si>
    <t xml:space="preserve">Indice mese</t>
  </si>
  <si>
    <t xml:space="preserve">Pilota Quokka avviato (1/0)</t>
  </si>
  <si>
    <t xml:space="preserve">Quokka a regime (1/0)</t>
  </si>
  <si>
    <t xml:space="preserve">Unità Quokka</t>
  </si>
  <si>
    <t xml:space="preserve">Altri Founding Partner (agenzie)</t>
  </si>
  <si>
    <t xml:space="preserve">Agenzie a listino</t>
  </si>
  <si>
    <t xml:space="preserve">Host B2C paganti</t>
  </si>
  <si>
    <t xml:space="preserve">Unità altri FP</t>
  </si>
  <si>
    <t xml:space="preserve">Unità a listino</t>
  </si>
  <si>
    <t xml:space="preserve">Unità B2B totali</t>
  </si>
  <si>
    <t xml:space="preserve">Prezzo listino applicato (€/unità)</t>
  </si>
  <si>
    <t xml:space="preserve">Ricavi canoni B2B</t>
  </si>
  <si>
    <t xml:space="preserve">Ricavi verifiche al costo (FP)</t>
  </si>
  <si>
    <t xml:space="preserve">Ricavi B2C</t>
  </si>
  <si>
    <t xml:space="preserve">RICAVI</t>
  </si>
  <si>
    <t xml:space="preserve">NextPax</t>
  </si>
  <si>
    <t xml:space="preserve">SDI, AI, video</t>
  </si>
  <si>
    <t xml:space="preserve">Verifiche d'identità</t>
  </si>
  <si>
    <t xml:space="preserve">Costi variabili B2C</t>
  </si>
  <si>
    <t xml:space="preserve">MARGINE LORDO</t>
  </si>
  <si>
    <t xml:space="preserve">Persone</t>
  </si>
  <si>
    <t xml:space="preserve">EBITDA</t>
  </si>
  <si>
    <t xml:space="preserve">Anticipo annuale FP (cassa)</t>
  </si>
  <si>
    <t xml:space="preserve">Cassa cumulata</t>
  </si>
  <si>
    <t xml:space="preserve">Sintesi annuale dello scenario attivo</t>
  </si>
  <si>
    <t xml:space="preserve">Anno 1 (nov 26-ott 27)</t>
  </si>
  <si>
    <t xml:space="preserve">Anno 2</t>
  </si>
  <si>
    <t xml:space="preserve">Anno 3</t>
  </si>
  <si>
    <t xml:space="preserve">Unità B2B a fine anno</t>
  </si>
  <si>
    <t xml:space="preserve">Host B2C a fine anno</t>
  </si>
  <si>
    <t xml:space="preserve">Ricavi</t>
  </si>
  <si>
    <t xml:space="preserve">Margine lordo</t>
  </si>
  <si>
    <t xml:space="preserve">Ricavi mensili a fine anno</t>
  </si>
  <si>
    <t xml:space="preserve">Cassa cumulata a fine anno</t>
  </si>
  <si>
    <t xml:space="preserve">Cassa cumulata minima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</si>
</sst>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#,##0;[RED]\-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8"/>
    <col collapsed="false" customWidth="true" hidden="false" outlineLevel="0" max="6" min="3" style="0" width="1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B4" s="0" t="s">
        <v>2</v>
      </c>
      <c r="C4" s="2" t="n">
        <v>3</v>
      </c>
    </row>
    <row r="6" customFormat="false" ht="15" hidden="false" customHeight="false" outlineLevel="0" collapsed="false">
      <c r="A6" s="1" t="s">
        <v>3</v>
      </c>
    </row>
    <row r="7" customFormat="false" ht="15" hidden="false" customHeight="false" outlineLevel="0" collapsed="false">
      <c r="B7" s="0" t="s">
        <v>4</v>
      </c>
      <c r="C7" s="2" t="n">
        <v>15</v>
      </c>
    </row>
    <row r="8" customFormat="false" ht="15" hidden="false" customHeight="false" outlineLevel="0" collapsed="false">
      <c r="B8" s="0" t="s">
        <v>5</v>
      </c>
      <c r="C8" s="2" t="n">
        <v>14</v>
      </c>
    </row>
    <row r="9" customFormat="false" ht="15" hidden="false" customHeight="false" outlineLevel="0" collapsed="false">
      <c r="B9" s="0" t="s">
        <v>6</v>
      </c>
      <c r="C9" s="2" t="n">
        <v>13</v>
      </c>
    </row>
    <row r="10" customFormat="false" ht="15" hidden="false" customHeight="false" outlineLevel="0" collapsed="false">
      <c r="B10" s="0" t="s">
        <v>7</v>
      </c>
      <c r="C10" s="2" t="n">
        <v>8</v>
      </c>
    </row>
    <row r="11" customFormat="false" ht="15" hidden="false" customHeight="false" outlineLevel="0" collapsed="false">
      <c r="B11" s="0" t="s">
        <v>8</v>
      </c>
      <c r="C11" s="2" t="n">
        <v>6.92</v>
      </c>
    </row>
    <row r="12" customFormat="false" ht="15" hidden="false" customHeight="false" outlineLevel="0" collapsed="false">
      <c r="B12" s="0" t="s">
        <v>9</v>
      </c>
      <c r="C12" s="2" t="n">
        <v>350</v>
      </c>
    </row>
    <row r="13" customFormat="false" ht="15" hidden="false" customHeight="false" outlineLevel="0" collapsed="false">
      <c r="B13" s="0" t="s">
        <v>10</v>
      </c>
      <c r="C13" s="2" t="n">
        <v>50</v>
      </c>
    </row>
    <row r="14" customFormat="false" ht="15" hidden="false" customHeight="false" outlineLevel="0" collapsed="false">
      <c r="B14" s="0" t="s">
        <v>11</v>
      </c>
      <c r="C14" s="2" t="n">
        <v>3.15</v>
      </c>
    </row>
    <row r="15" customFormat="false" ht="15" hidden="false" customHeight="false" outlineLevel="0" collapsed="false">
      <c r="B15" s="0" t="s">
        <v>12</v>
      </c>
      <c r="C15" s="2" t="n">
        <v>0.4</v>
      </c>
    </row>
    <row r="16" customFormat="false" ht="15" hidden="false" customHeight="false" outlineLevel="0" collapsed="false">
      <c r="B16" s="0" t="s">
        <v>13</v>
      </c>
      <c r="C16" s="2" t="n">
        <v>0.48</v>
      </c>
    </row>
    <row r="17" customFormat="false" ht="15" hidden="false" customHeight="false" outlineLevel="0" collapsed="false">
      <c r="B17" s="0" t="s">
        <v>14</v>
      </c>
      <c r="C17" s="2" t="n">
        <v>29</v>
      </c>
    </row>
    <row r="18" customFormat="false" ht="15" hidden="false" customHeight="false" outlineLevel="0" collapsed="false">
      <c r="B18" s="0" t="s">
        <v>15</v>
      </c>
      <c r="C18" s="2" t="n">
        <v>2</v>
      </c>
    </row>
    <row r="20" customFormat="false" ht="15" hidden="false" customHeight="false" outlineLevel="0" collapsed="false">
      <c r="A20" s="1" t="s">
        <v>16</v>
      </c>
    </row>
    <row r="21" customFormat="false" ht="15" hidden="false" customHeight="false" outlineLevel="0" collapsed="false">
      <c r="B21" s="0" t="s">
        <v>17</v>
      </c>
      <c r="C21" s="2" t="n">
        <v>205</v>
      </c>
    </row>
    <row r="22" customFormat="false" ht="15" hidden="false" customHeight="false" outlineLevel="0" collapsed="false">
      <c r="B22" s="0" t="s">
        <v>18</v>
      </c>
      <c r="C22" s="2" t="n">
        <v>375</v>
      </c>
    </row>
    <row r="23" customFormat="false" ht="15" hidden="false" customHeight="false" outlineLevel="0" collapsed="false">
      <c r="B23" s="0" t="s">
        <v>19</v>
      </c>
      <c r="C23" s="2" t="n">
        <v>20</v>
      </c>
    </row>
    <row r="24" customFormat="false" ht="15" hidden="false" customHeight="false" outlineLevel="0" collapsed="false">
      <c r="B24" s="0" t="s">
        <v>20</v>
      </c>
      <c r="C24" s="2" t="n">
        <v>150</v>
      </c>
    </row>
    <row r="25" customFormat="false" ht="15" hidden="false" customHeight="false" outlineLevel="0" collapsed="false">
      <c r="B25" s="0" t="s">
        <v>21</v>
      </c>
      <c r="C25" s="2" t="n">
        <v>100</v>
      </c>
    </row>
    <row r="26" customFormat="false" ht="15" hidden="false" customHeight="false" outlineLevel="0" collapsed="false">
      <c r="B26" s="0" t="s">
        <v>22</v>
      </c>
      <c r="C26" s="2" t="n">
        <v>2</v>
      </c>
    </row>
    <row r="27" customFormat="false" ht="15" hidden="false" customHeight="false" outlineLevel="0" collapsed="false">
      <c r="B27" s="0" t="s">
        <v>23</v>
      </c>
      <c r="C27" s="2" t="n">
        <v>6000</v>
      </c>
    </row>
    <row r="28" customFormat="false" ht="15" hidden="false" customHeight="false" outlineLevel="0" collapsed="false">
      <c r="B28" s="0" t="s">
        <v>24</v>
      </c>
      <c r="C28" s="2" t="n">
        <v>3</v>
      </c>
    </row>
    <row r="29" customFormat="false" ht="15" hidden="false" customHeight="false" outlineLevel="0" collapsed="false">
      <c r="B29" s="0" t="s">
        <v>25</v>
      </c>
      <c r="C29" s="2" t="n">
        <v>300</v>
      </c>
    </row>
    <row r="31" customFormat="false" ht="15" hidden="false" customHeight="false" outlineLevel="0" collapsed="false">
      <c r="A31" s="1" t="s">
        <v>26</v>
      </c>
      <c r="C31" s="1" t="s">
        <v>27</v>
      </c>
      <c r="D31" s="1" t="s">
        <v>28</v>
      </c>
      <c r="E31" s="1" t="s">
        <v>29</v>
      </c>
      <c r="F31" s="1" t="s">
        <v>30</v>
      </c>
    </row>
    <row r="32" customFormat="false" ht="15" hidden="false" customHeight="false" outlineLevel="0" collapsed="false">
      <c r="B32" s="0" t="s">
        <v>31</v>
      </c>
      <c r="C32" s="2" t="n">
        <v>7</v>
      </c>
      <c r="D32" s="2" t="n">
        <v>13</v>
      </c>
      <c r="E32" s="2" t="n">
        <v>7</v>
      </c>
      <c r="F32" s="3" t="n">
        <f aca="false">INDEX(C32:E32,1,$C$4)</f>
        <v>7</v>
      </c>
    </row>
    <row r="33" customFormat="false" ht="15" hidden="false" customHeight="false" outlineLevel="0" collapsed="false">
      <c r="B33" s="0" t="s">
        <v>32</v>
      </c>
      <c r="C33" s="2" t="n">
        <v>250</v>
      </c>
      <c r="D33" s="2" t="n">
        <v>250</v>
      </c>
      <c r="E33" s="2" t="n">
        <v>250</v>
      </c>
      <c r="F33" s="3" t="n">
        <f aca="false">INDEX(C33:E33,1,$C$4)</f>
        <v>250</v>
      </c>
    </row>
    <row r="34" customFormat="false" ht="15" hidden="false" customHeight="false" outlineLevel="0" collapsed="false">
      <c r="B34" s="0" t="s">
        <v>33</v>
      </c>
      <c r="C34" s="2" t="n">
        <v>5</v>
      </c>
      <c r="D34" s="2" t="n">
        <v>5</v>
      </c>
      <c r="E34" s="2" t="n">
        <v>5</v>
      </c>
      <c r="F34" s="3" t="n">
        <f aca="false">INDEX(C34:E34,1,$C$4)</f>
        <v>5</v>
      </c>
    </row>
    <row r="35" customFormat="false" ht="15" hidden="false" customHeight="false" outlineLevel="0" collapsed="false">
      <c r="B35" s="0" t="s">
        <v>34</v>
      </c>
      <c r="C35" s="2" t="n">
        <v>2</v>
      </c>
      <c r="D35" s="2" t="n">
        <v>2</v>
      </c>
      <c r="E35" s="2" t="n">
        <v>2</v>
      </c>
      <c r="F35" s="3" t="n">
        <f aca="false">INDEX(C35:E35,1,$C$4)</f>
        <v>2</v>
      </c>
    </row>
    <row r="36" customFormat="false" ht="15" hidden="false" customHeight="false" outlineLevel="0" collapsed="false">
      <c r="B36" s="0" t="s">
        <v>35</v>
      </c>
      <c r="C36" s="2" t="n">
        <v>4</v>
      </c>
      <c r="D36" s="2" t="n">
        <v>4</v>
      </c>
      <c r="E36" s="2" t="n">
        <v>4</v>
      </c>
      <c r="F36" s="3" t="n">
        <f aca="false">INDEX(C36:E36,1,$C$4)</f>
        <v>4</v>
      </c>
    </row>
    <row r="37" customFormat="false" ht="15" hidden="false" customHeight="false" outlineLevel="0" collapsed="false">
      <c r="B37" s="0" t="s">
        <v>36</v>
      </c>
      <c r="C37" s="2" t="n">
        <v>0</v>
      </c>
      <c r="D37" s="2" t="n">
        <v>0</v>
      </c>
      <c r="E37" s="2" t="n">
        <v>0</v>
      </c>
      <c r="F37" s="3" t="n">
        <f aca="false">INDEX(C37:E37,1,$C$4)</f>
        <v>0</v>
      </c>
    </row>
    <row r="38" customFormat="false" ht="15" hidden="false" customHeight="false" outlineLevel="0" collapsed="false">
      <c r="B38" s="0" t="s">
        <v>37</v>
      </c>
      <c r="C38" s="2" t="n">
        <v>99999</v>
      </c>
      <c r="D38" s="2" t="n">
        <v>19</v>
      </c>
      <c r="E38" s="2" t="n">
        <v>14</v>
      </c>
      <c r="F38" s="3" t="n">
        <f aca="false">INDEX(C38:E38,1,$C$4)</f>
        <v>14</v>
      </c>
    </row>
    <row r="39" customFormat="false" ht="15" hidden="false" customHeight="false" outlineLevel="0" collapsed="false">
      <c r="B39" s="0" t="s">
        <v>38</v>
      </c>
      <c r="C39" s="2" t="n">
        <v>9</v>
      </c>
      <c r="D39" s="2" t="n">
        <v>9</v>
      </c>
      <c r="E39" s="2" t="n">
        <v>9</v>
      </c>
      <c r="F39" s="3" t="n">
        <f aca="false">INDEX(C39:E39,1,$C$4)</f>
        <v>9</v>
      </c>
    </row>
    <row r="40" customFormat="false" ht="15" hidden="false" customHeight="false" outlineLevel="0" collapsed="false">
      <c r="B40" s="0" t="s">
        <v>39</v>
      </c>
      <c r="C40" s="2" t="n">
        <v>0</v>
      </c>
      <c r="D40" s="2" t="n">
        <v>0.25</v>
      </c>
      <c r="E40" s="2" t="n">
        <v>0.6</v>
      </c>
      <c r="F40" s="3" t="n">
        <f aca="false">INDEX(C40:E40,1,$C$4)</f>
        <v>0.6</v>
      </c>
    </row>
    <row r="41" customFormat="false" ht="15" hidden="false" customHeight="false" outlineLevel="0" collapsed="false">
      <c r="B41" s="0" t="s">
        <v>40</v>
      </c>
      <c r="C41" s="2" t="n">
        <v>99999</v>
      </c>
      <c r="D41" s="2" t="n">
        <v>99999</v>
      </c>
      <c r="E41" s="2" t="n">
        <v>29</v>
      </c>
      <c r="F41" s="3" t="n">
        <f aca="false">INDEX(C41:E41,1,$C$4)</f>
        <v>29</v>
      </c>
    </row>
    <row r="42" customFormat="false" ht="15" hidden="false" customHeight="false" outlineLevel="0" collapsed="false">
      <c r="B42" s="0" t="s">
        <v>41</v>
      </c>
      <c r="C42" s="2" t="n">
        <v>0</v>
      </c>
      <c r="D42" s="2" t="n">
        <v>0</v>
      </c>
      <c r="E42" s="2" t="n">
        <v>1</v>
      </c>
      <c r="F42" s="3" t="n">
        <f aca="false">INDEX(C42:E42,1,$C$4)</f>
        <v>1</v>
      </c>
    </row>
    <row r="43" customFormat="false" ht="15" hidden="false" customHeight="false" outlineLevel="0" collapsed="false">
      <c r="B43" s="0" t="s">
        <v>42</v>
      </c>
      <c r="C43" s="2" t="n">
        <v>40</v>
      </c>
      <c r="D43" s="2" t="n">
        <v>40</v>
      </c>
      <c r="E43" s="2" t="n">
        <v>40</v>
      </c>
      <c r="F43" s="3" t="n">
        <f aca="false">INDEX(C43:E43,1,$C$4)</f>
        <v>40</v>
      </c>
    </row>
    <row r="44" customFormat="false" ht="15" hidden="false" customHeight="false" outlineLevel="0" collapsed="false">
      <c r="B44" s="0" t="s">
        <v>43</v>
      </c>
      <c r="C44" s="2" t="n">
        <v>0.01</v>
      </c>
      <c r="D44" s="2" t="n">
        <v>0.01</v>
      </c>
      <c r="E44" s="2" t="n">
        <v>0.01</v>
      </c>
      <c r="F44" s="3" t="n">
        <f aca="false">INDEX(C44:E44,1,$C$4)</f>
        <v>0.01</v>
      </c>
    </row>
    <row r="45" customFormat="false" ht="15" hidden="false" customHeight="false" outlineLevel="0" collapsed="false">
      <c r="B45" s="0" t="s">
        <v>44</v>
      </c>
      <c r="C45" s="2" t="n">
        <v>99999</v>
      </c>
      <c r="D45" s="2" t="n">
        <v>19</v>
      </c>
      <c r="E45" s="2" t="n">
        <v>10</v>
      </c>
      <c r="F45" s="3" t="n">
        <f aca="false">INDEX(C45:E45,1,$C$4)</f>
        <v>10</v>
      </c>
    </row>
    <row r="46" customFormat="false" ht="15" hidden="false" customHeight="false" outlineLevel="0" collapsed="false">
      <c r="B46" s="0" t="s">
        <v>45</v>
      </c>
      <c r="C46" s="2" t="n">
        <v>0</v>
      </c>
      <c r="D46" s="2" t="n">
        <v>2</v>
      </c>
      <c r="E46" s="2" t="n">
        <v>6</v>
      </c>
      <c r="F46" s="3" t="n">
        <f aca="false">INDEX(C46:E46,1,$C$4)</f>
        <v>6</v>
      </c>
    </row>
    <row r="47" customFormat="false" ht="15" hidden="false" customHeight="false" outlineLevel="0" collapsed="false">
      <c r="B47" s="0" t="s">
        <v>46</v>
      </c>
      <c r="C47" s="2" t="n">
        <v>0.03</v>
      </c>
      <c r="D47" s="2" t="n">
        <v>0.03</v>
      </c>
      <c r="E47" s="2" t="n">
        <v>0.03</v>
      </c>
      <c r="F47" s="3" t="n">
        <f aca="false">INDEX(C47:E47,1,$C$4)</f>
        <v>0.03</v>
      </c>
    </row>
    <row r="48" customFormat="false" ht="15" hidden="false" customHeight="false" outlineLevel="0" collapsed="false">
      <c r="B48" s="0" t="s">
        <v>47</v>
      </c>
      <c r="C48" s="2" t="n">
        <v>0</v>
      </c>
      <c r="D48" s="2" t="n">
        <v>0</v>
      </c>
      <c r="E48" s="2" t="n">
        <v>0</v>
      </c>
      <c r="F48" s="3" t="n">
        <f aca="false">INDEX(C48:E48,1,$C$4)</f>
        <v>0</v>
      </c>
    </row>
    <row r="49" customFormat="false" ht="15" hidden="false" customHeight="false" outlineLevel="0" collapsed="false">
      <c r="B49" s="0" t="s">
        <v>48</v>
      </c>
      <c r="C49" s="2" t="n">
        <v>99999</v>
      </c>
      <c r="D49" s="2" t="n">
        <v>99999</v>
      </c>
      <c r="E49" s="2" t="n">
        <v>1000</v>
      </c>
      <c r="F49" s="3" t="n">
        <f aca="false">INDEX(C49:E49,1,$C$4)</f>
        <v>1000</v>
      </c>
    </row>
    <row r="50" customFormat="false" ht="15" hidden="false" customHeight="false" outlineLevel="0" collapsed="false">
      <c r="B50" s="0" t="s">
        <v>49</v>
      </c>
      <c r="C50" s="2" t="n">
        <v>3000</v>
      </c>
      <c r="D50" s="2" t="n">
        <v>3000</v>
      </c>
      <c r="E50" s="2" t="n">
        <v>3000</v>
      </c>
      <c r="F50" s="3" t="n">
        <f aca="false">INDEX(C50:E50,1,$C$4)</f>
        <v>3000</v>
      </c>
    </row>
  </sheetData>
  <dataValidations count="1">
    <dataValidation allowBlank="false" errorStyle="stop" operator="between" showDropDown="false" showErrorMessage="false" showInputMessage="false" sqref="C4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7" min="2" style="0" width="11"/>
  </cols>
  <sheetData>
    <row r="1" customFormat="false" ht="15" hidden="false" customHeight="false" outlineLevel="0" collapsed="false">
      <c r="A1" s="1" t="s">
        <v>50</v>
      </c>
      <c r="B1" s="4" t="s">
        <v>51</v>
      </c>
      <c r="C1" s="4" t="s">
        <v>52</v>
      </c>
      <c r="D1" s="4" t="s">
        <v>53</v>
      </c>
      <c r="E1" s="4" t="s">
        <v>54</v>
      </c>
      <c r="F1" s="4" t="s">
        <v>55</v>
      </c>
      <c r="G1" s="4" t="s">
        <v>56</v>
      </c>
      <c r="H1" s="4" t="s">
        <v>57</v>
      </c>
      <c r="I1" s="4" t="s">
        <v>58</v>
      </c>
      <c r="J1" s="4" t="s">
        <v>59</v>
      </c>
      <c r="K1" s="4" t="s">
        <v>60</v>
      </c>
      <c r="L1" s="4" t="s">
        <v>61</v>
      </c>
      <c r="M1" s="4" t="s">
        <v>62</v>
      </c>
      <c r="N1" s="4" t="s">
        <v>63</v>
      </c>
      <c r="O1" s="4" t="s">
        <v>64</v>
      </c>
      <c r="P1" s="4" t="s">
        <v>65</v>
      </c>
      <c r="Q1" s="4" t="s">
        <v>66</v>
      </c>
      <c r="R1" s="4" t="s">
        <v>67</v>
      </c>
      <c r="S1" s="4" t="s">
        <v>68</v>
      </c>
      <c r="T1" s="4" t="s">
        <v>69</v>
      </c>
      <c r="U1" s="4" t="s">
        <v>70</v>
      </c>
      <c r="V1" s="4" t="s">
        <v>71</v>
      </c>
      <c r="W1" s="4" t="s">
        <v>72</v>
      </c>
      <c r="X1" s="4" t="s">
        <v>73</v>
      </c>
      <c r="Y1" s="4" t="s">
        <v>74</v>
      </c>
      <c r="Z1" s="4" t="s">
        <v>75</v>
      </c>
      <c r="AA1" s="4" t="s">
        <v>76</v>
      </c>
      <c r="AB1" s="4" t="s">
        <v>77</v>
      </c>
      <c r="AC1" s="4" t="s">
        <v>78</v>
      </c>
      <c r="AD1" s="4" t="s">
        <v>79</v>
      </c>
      <c r="AE1" s="4" t="s">
        <v>80</v>
      </c>
      <c r="AF1" s="4" t="s">
        <v>81</v>
      </c>
      <c r="AG1" s="4" t="s">
        <v>82</v>
      </c>
      <c r="AH1" s="4" t="s">
        <v>83</v>
      </c>
      <c r="AI1" s="4" t="s">
        <v>84</v>
      </c>
      <c r="AJ1" s="4" t="s">
        <v>85</v>
      </c>
      <c r="AK1" s="4" t="s">
        <v>86</v>
      </c>
    </row>
    <row r="2" customFormat="false" ht="15" hidden="false" customHeight="false" outlineLevel="0" collapsed="false">
      <c r="A2" s="0" t="s">
        <v>87</v>
      </c>
      <c r="B2" s="0" t="n">
        <v>1</v>
      </c>
      <c r="C2" s="0" t="n">
        <v>2</v>
      </c>
      <c r="D2" s="0" t="n">
        <v>3</v>
      </c>
      <c r="E2" s="0" t="n">
        <v>4</v>
      </c>
      <c r="F2" s="0" t="n">
        <v>5</v>
      </c>
      <c r="G2" s="0" t="n">
        <v>6</v>
      </c>
      <c r="H2" s="0" t="n">
        <v>7</v>
      </c>
      <c r="I2" s="0" t="n">
        <v>8</v>
      </c>
      <c r="J2" s="0" t="n">
        <v>9</v>
      </c>
      <c r="K2" s="0" t="n">
        <v>10</v>
      </c>
      <c r="L2" s="0" t="n">
        <v>11</v>
      </c>
      <c r="M2" s="0" t="n">
        <v>12</v>
      </c>
      <c r="N2" s="0" t="n">
        <v>13</v>
      </c>
      <c r="O2" s="0" t="n">
        <v>14</v>
      </c>
      <c r="P2" s="0" t="n">
        <v>15</v>
      </c>
      <c r="Q2" s="0" t="n">
        <v>16</v>
      </c>
      <c r="R2" s="0" t="n">
        <v>17</v>
      </c>
      <c r="S2" s="0" t="n">
        <v>18</v>
      </c>
      <c r="T2" s="0" t="n">
        <v>19</v>
      </c>
      <c r="U2" s="0" t="n">
        <v>20</v>
      </c>
      <c r="V2" s="0" t="n">
        <v>21</v>
      </c>
      <c r="W2" s="0" t="n">
        <v>22</v>
      </c>
      <c r="X2" s="0" t="n">
        <v>23</v>
      </c>
      <c r="Y2" s="0" t="n">
        <v>24</v>
      </c>
      <c r="Z2" s="0" t="n">
        <v>25</v>
      </c>
      <c r="AA2" s="0" t="n">
        <v>26</v>
      </c>
      <c r="AB2" s="0" t="n">
        <v>27</v>
      </c>
      <c r="AC2" s="0" t="n">
        <v>28</v>
      </c>
      <c r="AD2" s="0" t="n">
        <v>29</v>
      </c>
      <c r="AE2" s="0" t="n">
        <v>30</v>
      </c>
      <c r="AF2" s="0" t="n">
        <v>31</v>
      </c>
      <c r="AG2" s="0" t="n">
        <v>32</v>
      </c>
      <c r="AH2" s="0" t="n">
        <v>33</v>
      </c>
      <c r="AI2" s="0" t="n">
        <v>34</v>
      </c>
      <c r="AJ2" s="0" t="n">
        <v>35</v>
      </c>
      <c r="AK2" s="0" t="n">
        <v>36</v>
      </c>
    </row>
    <row r="3" customFormat="false" ht="15" hidden="false" customHeight="false" outlineLevel="0" collapsed="false">
      <c r="A3" s="0" t="s">
        <v>88</v>
      </c>
      <c r="B3" s="0" t="n">
        <f aca="false">IF(B2&gt;=Ipotesi!$F$32,1,0)</f>
        <v>0</v>
      </c>
      <c r="C3" s="0" t="n">
        <f aca="false">IF(C2&gt;=Ipotesi!$F$32,1,0)</f>
        <v>0</v>
      </c>
      <c r="D3" s="0" t="n">
        <f aca="false">IF(D2&gt;=Ipotesi!$F$32,1,0)</f>
        <v>0</v>
      </c>
      <c r="E3" s="0" t="n">
        <f aca="false">IF(E2&gt;=Ipotesi!$F$32,1,0)</f>
        <v>0</v>
      </c>
      <c r="F3" s="0" t="n">
        <f aca="false">IF(F2&gt;=Ipotesi!$F$32,1,0)</f>
        <v>0</v>
      </c>
      <c r="G3" s="0" t="n">
        <f aca="false">IF(G2&gt;=Ipotesi!$F$32,1,0)</f>
        <v>0</v>
      </c>
      <c r="H3" s="0" t="n">
        <f aca="false">IF(H2&gt;=Ipotesi!$F$32,1,0)</f>
        <v>1</v>
      </c>
      <c r="I3" s="0" t="n">
        <f aca="false">IF(I2&gt;=Ipotesi!$F$32,1,0)</f>
        <v>1</v>
      </c>
      <c r="J3" s="0" t="n">
        <f aca="false">IF(J2&gt;=Ipotesi!$F$32,1,0)</f>
        <v>1</v>
      </c>
      <c r="K3" s="0" t="n">
        <f aca="false">IF(K2&gt;=Ipotesi!$F$32,1,0)</f>
        <v>1</v>
      </c>
      <c r="L3" s="0" t="n">
        <f aca="false">IF(L2&gt;=Ipotesi!$F$32,1,0)</f>
        <v>1</v>
      </c>
      <c r="M3" s="0" t="n">
        <f aca="false">IF(M2&gt;=Ipotesi!$F$32,1,0)</f>
        <v>1</v>
      </c>
      <c r="N3" s="0" t="n">
        <f aca="false">IF(N2&gt;=Ipotesi!$F$32,1,0)</f>
        <v>1</v>
      </c>
      <c r="O3" s="0" t="n">
        <f aca="false">IF(O2&gt;=Ipotesi!$F$32,1,0)</f>
        <v>1</v>
      </c>
      <c r="P3" s="0" t="n">
        <f aca="false">IF(P2&gt;=Ipotesi!$F$32,1,0)</f>
        <v>1</v>
      </c>
      <c r="Q3" s="0" t="n">
        <f aca="false">IF(Q2&gt;=Ipotesi!$F$32,1,0)</f>
        <v>1</v>
      </c>
      <c r="R3" s="0" t="n">
        <f aca="false">IF(R2&gt;=Ipotesi!$F$32,1,0)</f>
        <v>1</v>
      </c>
      <c r="S3" s="0" t="n">
        <f aca="false">IF(S2&gt;=Ipotesi!$F$32,1,0)</f>
        <v>1</v>
      </c>
      <c r="T3" s="0" t="n">
        <f aca="false">IF(T2&gt;=Ipotesi!$F$32,1,0)</f>
        <v>1</v>
      </c>
      <c r="U3" s="0" t="n">
        <f aca="false">IF(U2&gt;=Ipotesi!$F$32,1,0)</f>
        <v>1</v>
      </c>
      <c r="V3" s="0" t="n">
        <f aca="false">IF(V2&gt;=Ipotesi!$F$32,1,0)</f>
        <v>1</v>
      </c>
      <c r="W3" s="0" t="n">
        <f aca="false">IF(W2&gt;=Ipotesi!$F$32,1,0)</f>
        <v>1</v>
      </c>
      <c r="X3" s="0" t="n">
        <f aca="false">IF(X2&gt;=Ipotesi!$F$32,1,0)</f>
        <v>1</v>
      </c>
      <c r="Y3" s="0" t="n">
        <f aca="false">IF(Y2&gt;=Ipotesi!$F$32,1,0)</f>
        <v>1</v>
      </c>
      <c r="Z3" s="0" t="n">
        <f aca="false">IF(Z2&gt;=Ipotesi!$F$32,1,0)</f>
        <v>1</v>
      </c>
      <c r="AA3" s="0" t="n">
        <f aca="false">IF(AA2&gt;=Ipotesi!$F$32,1,0)</f>
        <v>1</v>
      </c>
      <c r="AB3" s="0" t="n">
        <f aca="false">IF(AB2&gt;=Ipotesi!$F$32,1,0)</f>
        <v>1</v>
      </c>
      <c r="AC3" s="0" t="n">
        <f aca="false">IF(AC2&gt;=Ipotesi!$F$32,1,0)</f>
        <v>1</v>
      </c>
      <c r="AD3" s="0" t="n">
        <f aca="false">IF(AD2&gt;=Ipotesi!$F$32,1,0)</f>
        <v>1</v>
      </c>
      <c r="AE3" s="0" t="n">
        <f aca="false">IF(AE2&gt;=Ipotesi!$F$32,1,0)</f>
        <v>1</v>
      </c>
      <c r="AF3" s="0" t="n">
        <f aca="false">IF(AF2&gt;=Ipotesi!$F$32,1,0)</f>
        <v>1</v>
      </c>
      <c r="AG3" s="0" t="n">
        <f aca="false">IF(AG2&gt;=Ipotesi!$F$32,1,0)</f>
        <v>1</v>
      </c>
      <c r="AH3" s="0" t="n">
        <f aca="false">IF(AH2&gt;=Ipotesi!$F$32,1,0)</f>
        <v>1</v>
      </c>
      <c r="AI3" s="0" t="n">
        <f aca="false">IF(AI2&gt;=Ipotesi!$F$32,1,0)</f>
        <v>1</v>
      </c>
      <c r="AJ3" s="0" t="n">
        <f aca="false">IF(AJ2&gt;=Ipotesi!$F$32,1,0)</f>
        <v>1</v>
      </c>
      <c r="AK3" s="0" t="n">
        <f aca="false">IF(AK2&gt;=Ipotesi!$F$32,1,0)</f>
        <v>1</v>
      </c>
    </row>
    <row r="4" customFormat="false" ht="15" hidden="false" customHeight="false" outlineLevel="0" collapsed="false">
      <c r="A4" s="0" t="s">
        <v>89</v>
      </c>
      <c r="B4" s="0" t="n">
        <f aca="false">IF(B2&gt;=(Ipotesi!$F$32+Ipotesi!$F$35+Ipotesi!$F$36-1),1,0)</f>
        <v>0</v>
      </c>
      <c r="C4" s="0" t="n">
        <f aca="false">IF(C2&gt;=(Ipotesi!$F$32+Ipotesi!$F$35+Ipotesi!$F$36-1),1,0)</f>
        <v>0</v>
      </c>
      <c r="D4" s="0" t="n">
        <f aca="false">IF(D2&gt;=(Ipotesi!$F$32+Ipotesi!$F$35+Ipotesi!$F$36-1),1,0)</f>
        <v>0</v>
      </c>
      <c r="E4" s="0" t="n">
        <f aca="false">IF(E2&gt;=(Ipotesi!$F$32+Ipotesi!$F$35+Ipotesi!$F$36-1),1,0)</f>
        <v>0</v>
      </c>
      <c r="F4" s="0" t="n">
        <f aca="false">IF(F2&gt;=(Ipotesi!$F$32+Ipotesi!$F$35+Ipotesi!$F$36-1),1,0)</f>
        <v>0</v>
      </c>
      <c r="G4" s="0" t="n">
        <f aca="false">IF(G2&gt;=(Ipotesi!$F$32+Ipotesi!$F$35+Ipotesi!$F$36-1),1,0)</f>
        <v>0</v>
      </c>
      <c r="H4" s="0" t="n">
        <f aca="false">IF(H2&gt;=(Ipotesi!$F$32+Ipotesi!$F$35+Ipotesi!$F$36-1),1,0)</f>
        <v>0</v>
      </c>
      <c r="I4" s="0" t="n">
        <f aca="false">IF(I2&gt;=(Ipotesi!$F$32+Ipotesi!$F$35+Ipotesi!$F$36-1),1,0)</f>
        <v>0</v>
      </c>
      <c r="J4" s="0" t="n">
        <f aca="false">IF(J2&gt;=(Ipotesi!$F$32+Ipotesi!$F$35+Ipotesi!$F$36-1),1,0)</f>
        <v>0</v>
      </c>
      <c r="K4" s="0" t="n">
        <f aca="false">IF(K2&gt;=(Ipotesi!$F$32+Ipotesi!$F$35+Ipotesi!$F$36-1),1,0)</f>
        <v>0</v>
      </c>
      <c r="L4" s="0" t="n">
        <f aca="false">IF(L2&gt;=(Ipotesi!$F$32+Ipotesi!$F$35+Ipotesi!$F$36-1),1,0)</f>
        <v>0</v>
      </c>
      <c r="M4" s="0" t="n">
        <f aca="false">IF(M2&gt;=(Ipotesi!$F$32+Ipotesi!$F$35+Ipotesi!$F$36-1),1,0)</f>
        <v>1</v>
      </c>
      <c r="N4" s="0" t="n">
        <f aca="false">IF(N2&gt;=(Ipotesi!$F$32+Ipotesi!$F$35+Ipotesi!$F$36-1),1,0)</f>
        <v>1</v>
      </c>
      <c r="O4" s="0" t="n">
        <f aca="false">IF(O2&gt;=(Ipotesi!$F$32+Ipotesi!$F$35+Ipotesi!$F$36-1),1,0)</f>
        <v>1</v>
      </c>
      <c r="P4" s="0" t="n">
        <f aca="false">IF(P2&gt;=(Ipotesi!$F$32+Ipotesi!$F$35+Ipotesi!$F$36-1),1,0)</f>
        <v>1</v>
      </c>
      <c r="Q4" s="0" t="n">
        <f aca="false">IF(Q2&gt;=(Ipotesi!$F$32+Ipotesi!$F$35+Ipotesi!$F$36-1),1,0)</f>
        <v>1</v>
      </c>
      <c r="R4" s="0" t="n">
        <f aca="false">IF(R2&gt;=(Ipotesi!$F$32+Ipotesi!$F$35+Ipotesi!$F$36-1),1,0)</f>
        <v>1</v>
      </c>
      <c r="S4" s="0" t="n">
        <f aca="false">IF(S2&gt;=(Ipotesi!$F$32+Ipotesi!$F$35+Ipotesi!$F$36-1),1,0)</f>
        <v>1</v>
      </c>
      <c r="T4" s="0" t="n">
        <f aca="false">IF(T2&gt;=(Ipotesi!$F$32+Ipotesi!$F$35+Ipotesi!$F$36-1),1,0)</f>
        <v>1</v>
      </c>
      <c r="U4" s="0" t="n">
        <f aca="false">IF(U2&gt;=(Ipotesi!$F$32+Ipotesi!$F$35+Ipotesi!$F$36-1),1,0)</f>
        <v>1</v>
      </c>
      <c r="V4" s="0" t="n">
        <f aca="false">IF(V2&gt;=(Ipotesi!$F$32+Ipotesi!$F$35+Ipotesi!$F$36-1),1,0)</f>
        <v>1</v>
      </c>
      <c r="W4" s="0" t="n">
        <f aca="false">IF(W2&gt;=(Ipotesi!$F$32+Ipotesi!$F$35+Ipotesi!$F$36-1),1,0)</f>
        <v>1</v>
      </c>
      <c r="X4" s="0" t="n">
        <f aca="false">IF(X2&gt;=(Ipotesi!$F$32+Ipotesi!$F$35+Ipotesi!$F$36-1),1,0)</f>
        <v>1</v>
      </c>
      <c r="Y4" s="0" t="n">
        <f aca="false">IF(Y2&gt;=(Ipotesi!$F$32+Ipotesi!$F$35+Ipotesi!$F$36-1),1,0)</f>
        <v>1</v>
      </c>
      <c r="Z4" s="0" t="n">
        <f aca="false">IF(Z2&gt;=(Ipotesi!$F$32+Ipotesi!$F$35+Ipotesi!$F$36-1),1,0)</f>
        <v>1</v>
      </c>
      <c r="AA4" s="0" t="n">
        <f aca="false">IF(AA2&gt;=(Ipotesi!$F$32+Ipotesi!$F$35+Ipotesi!$F$36-1),1,0)</f>
        <v>1</v>
      </c>
      <c r="AB4" s="0" t="n">
        <f aca="false">IF(AB2&gt;=(Ipotesi!$F$32+Ipotesi!$F$35+Ipotesi!$F$36-1),1,0)</f>
        <v>1</v>
      </c>
      <c r="AC4" s="0" t="n">
        <f aca="false">IF(AC2&gt;=(Ipotesi!$F$32+Ipotesi!$F$35+Ipotesi!$F$36-1),1,0)</f>
        <v>1</v>
      </c>
      <c r="AD4" s="0" t="n">
        <f aca="false">IF(AD2&gt;=(Ipotesi!$F$32+Ipotesi!$F$35+Ipotesi!$F$36-1),1,0)</f>
        <v>1</v>
      </c>
      <c r="AE4" s="0" t="n">
        <f aca="false">IF(AE2&gt;=(Ipotesi!$F$32+Ipotesi!$F$35+Ipotesi!$F$36-1),1,0)</f>
        <v>1</v>
      </c>
      <c r="AF4" s="0" t="n">
        <f aca="false">IF(AF2&gt;=(Ipotesi!$F$32+Ipotesi!$F$35+Ipotesi!$F$36-1),1,0)</f>
        <v>1</v>
      </c>
      <c r="AG4" s="0" t="n">
        <f aca="false">IF(AG2&gt;=(Ipotesi!$F$32+Ipotesi!$F$35+Ipotesi!$F$36-1),1,0)</f>
        <v>1</v>
      </c>
      <c r="AH4" s="0" t="n">
        <f aca="false">IF(AH2&gt;=(Ipotesi!$F$32+Ipotesi!$F$35+Ipotesi!$F$36-1),1,0)</f>
        <v>1</v>
      </c>
      <c r="AI4" s="0" t="n">
        <f aca="false">IF(AI2&gt;=(Ipotesi!$F$32+Ipotesi!$F$35+Ipotesi!$F$36-1),1,0)</f>
        <v>1</v>
      </c>
      <c r="AJ4" s="0" t="n">
        <f aca="false">IF(AJ2&gt;=(Ipotesi!$F$32+Ipotesi!$F$35+Ipotesi!$F$36-1),1,0)</f>
        <v>1</v>
      </c>
      <c r="AK4" s="0" t="n">
        <f aca="false">IF(AK2&gt;=(Ipotesi!$F$32+Ipotesi!$F$35+Ipotesi!$F$36-1),1,0)</f>
        <v>1</v>
      </c>
    </row>
    <row r="5" customFormat="false" ht="15" hidden="false" customHeight="false" outlineLevel="0" collapsed="false">
      <c r="A5" s="0" t="s">
        <v>90</v>
      </c>
      <c r="B5" s="5" t="n">
        <f aca="false">IF(B2&lt;Ipotesi!$F$32,0,IF(B2&lt;Ipotesi!$F$32+Ipotesi!$F$35,Ipotesi!$F$34,MIN(Ipotesi!$F$33,Ipotesi!$F$34+(Ipotesi!$F$33-Ipotesi!$F$34)*(B2-(Ipotesi!$F$32+Ipotesi!$F$35)+1)/Ipotesi!$F$36)))</f>
        <v>0</v>
      </c>
      <c r="C5" s="5" t="n">
        <f aca="false">IF(C2&lt;Ipotesi!$F$32,0,IF(C2&lt;Ipotesi!$F$32+Ipotesi!$F$35,Ipotesi!$F$34,MIN(Ipotesi!$F$33,Ipotesi!$F$34+(Ipotesi!$F$33-Ipotesi!$F$34)*(C2-(Ipotesi!$F$32+Ipotesi!$F$35)+1)/Ipotesi!$F$36)))</f>
        <v>0</v>
      </c>
      <c r="D5" s="5" t="n">
        <f aca="false">IF(D2&lt;Ipotesi!$F$32,0,IF(D2&lt;Ipotesi!$F$32+Ipotesi!$F$35,Ipotesi!$F$34,MIN(Ipotesi!$F$33,Ipotesi!$F$34+(Ipotesi!$F$33-Ipotesi!$F$34)*(D2-(Ipotesi!$F$32+Ipotesi!$F$35)+1)/Ipotesi!$F$36)))</f>
        <v>0</v>
      </c>
      <c r="E5" s="5" t="n">
        <f aca="false">IF(E2&lt;Ipotesi!$F$32,0,IF(E2&lt;Ipotesi!$F$32+Ipotesi!$F$35,Ipotesi!$F$34,MIN(Ipotesi!$F$33,Ipotesi!$F$34+(Ipotesi!$F$33-Ipotesi!$F$34)*(E2-(Ipotesi!$F$32+Ipotesi!$F$35)+1)/Ipotesi!$F$36)))</f>
        <v>0</v>
      </c>
      <c r="F5" s="5" t="n">
        <f aca="false">IF(F2&lt;Ipotesi!$F$32,0,IF(F2&lt;Ipotesi!$F$32+Ipotesi!$F$35,Ipotesi!$F$34,MIN(Ipotesi!$F$33,Ipotesi!$F$34+(Ipotesi!$F$33-Ipotesi!$F$34)*(F2-(Ipotesi!$F$32+Ipotesi!$F$35)+1)/Ipotesi!$F$36)))</f>
        <v>0</v>
      </c>
      <c r="G5" s="5" t="n">
        <f aca="false">IF(G2&lt;Ipotesi!$F$32,0,IF(G2&lt;Ipotesi!$F$32+Ipotesi!$F$35,Ipotesi!$F$34,MIN(Ipotesi!$F$33,Ipotesi!$F$34+(Ipotesi!$F$33-Ipotesi!$F$34)*(G2-(Ipotesi!$F$32+Ipotesi!$F$35)+1)/Ipotesi!$F$36)))</f>
        <v>0</v>
      </c>
      <c r="H5" s="5" t="n">
        <f aca="false">IF(H2&lt;Ipotesi!$F$32,0,IF(H2&lt;Ipotesi!$F$32+Ipotesi!$F$35,Ipotesi!$F$34,MIN(Ipotesi!$F$33,Ipotesi!$F$34+(Ipotesi!$F$33-Ipotesi!$F$34)*(H2-(Ipotesi!$F$32+Ipotesi!$F$35)+1)/Ipotesi!$F$36)))</f>
        <v>5</v>
      </c>
      <c r="I5" s="5" t="n">
        <f aca="false">IF(I2&lt;Ipotesi!$F$32,0,IF(I2&lt;Ipotesi!$F$32+Ipotesi!$F$35,Ipotesi!$F$34,MIN(Ipotesi!$F$33,Ipotesi!$F$34+(Ipotesi!$F$33-Ipotesi!$F$34)*(I2-(Ipotesi!$F$32+Ipotesi!$F$35)+1)/Ipotesi!$F$36)))</f>
        <v>5</v>
      </c>
      <c r="J5" s="5" t="n">
        <f aca="false">IF(J2&lt;Ipotesi!$F$32,0,IF(J2&lt;Ipotesi!$F$32+Ipotesi!$F$35,Ipotesi!$F$34,MIN(Ipotesi!$F$33,Ipotesi!$F$34+(Ipotesi!$F$33-Ipotesi!$F$34)*(J2-(Ipotesi!$F$32+Ipotesi!$F$35)+1)/Ipotesi!$F$36)))</f>
        <v>66.25</v>
      </c>
      <c r="K5" s="5" t="n">
        <f aca="false">IF(K2&lt;Ipotesi!$F$32,0,IF(K2&lt;Ipotesi!$F$32+Ipotesi!$F$35,Ipotesi!$F$34,MIN(Ipotesi!$F$33,Ipotesi!$F$34+(Ipotesi!$F$33-Ipotesi!$F$34)*(K2-(Ipotesi!$F$32+Ipotesi!$F$35)+1)/Ipotesi!$F$36)))</f>
        <v>127.5</v>
      </c>
      <c r="L5" s="5" t="n">
        <f aca="false">IF(L2&lt;Ipotesi!$F$32,0,IF(L2&lt;Ipotesi!$F$32+Ipotesi!$F$35,Ipotesi!$F$34,MIN(Ipotesi!$F$33,Ipotesi!$F$34+(Ipotesi!$F$33-Ipotesi!$F$34)*(L2-(Ipotesi!$F$32+Ipotesi!$F$35)+1)/Ipotesi!$F$36)))</f>
        <v>188.75</v>
      </c>
      <c r="M5" s="5" t="n">
        <f aca="false">IF(M2&lt;Ipotesi!$F$32,0,IF(M2&lt;Ipotesi!$F$32+Ipotesi!$F$35,Ipotesi!$F$34,MIN(Ipotesi!$F$33,Ipotesi!$F$34+(Ipotesi!$F$33-Ipotesi!$F$34)*(M2-(Ipotesi!$F$32+Ipotesi!$F$35)+1)/Ipotesi!$F$36)))</f>
        <v>250</v>
      </c>
      <c r="N5" s="5" t="n">
        <f aca="false">IF(N2&lt;Ipotesi!$F$32,0,IF(N2&lt;Ipotesi!$F$32+Ipotesi!$F$35,Ipotesi!$F$34,MIN(Ipotesi!$F$33,Ipotesi!$F$34+(Ipotesi!$F$33-Ipotesi!$F$34)*(N2-(Ipotesi!$F$32+Ipotesi!$F$35)+1)/Ipotesi!$F$36)))</f>
        <v>250</v>
      </c>
      <c r="O5" s="5" t="n">
        <f aca="false">IF(O2&lt;Ipotesi!$F$32,0,IF(O2&lt;Ipotesi!$F$32+Ipotesi!$F$35,Ipotesi!$F$34,MIN(Ipotesi!$F$33,Ipotesi!$F$34+(Ipotesi!$F$33-Ipotesi!$F$34)*(O2-(Ipotesi!$F$32+Ipotesi!$F$35)+1)/Ipotesi!$F$36)))</f>
        <v>250</v>
      </c>
      <c r="P5" s="5" t="n">
        <f aca="false">IF(P2&lt;Ipotesi!$F$32,0,IF(P2&lt;Ipotesi!$F$32+Ipotesi!$F$35,Ipotesi!$F$34,MIN(Ipotesi!$F$33,Ipotesi!$F$34+(Ipotesi!$F$33-Ipotesi!$F$34)*(P2-(Ipotesi!$F$32+Ipotesi!$F$35)+1)/Ipotesi!$F$36)))</f>
        <v>250</v>
      </c>
      <c r="Q5" s="5" t="n">
        <f aca="false">IF(Q2&lt;Ipotesi!$F$32,0,IF(Q2&lt;Ipotesi!$F$32+Ipotesi!$F$35,Ipotesi!$F$34,MIN(Ipotesi!$F$33,Ipotesi!$F$34+(Ipotesi!$F$33-Ipotesi!$F$34)*(Q2-(Ipotesi!$F$32+Ipotesi!$F$35)+1)/Ipotesi!$F$36)))</f>
        <v>250</v>
      </c>
      <c r="R5" s="5" t="n">
        <f aca="false">IF(R2&lt;Ipotesi!$F$32,0,IF(R2&lt;Ipotesi!$F$32+Ipotesi!$F$35,Ipotesi!$F$34,MIN(Ipotesi!$F$33,Ipotesi!$F$34+(Ipotesi!$F$33-Ipotesi!$F$34)*(R2-(Ipotesi!$F$32+Ipotesi!$F$35)+1)/Ipotesi!$F$36)))</f>
        <v>250</v>
      </c>
      <c r="S5" s="5" t="n">
        <f aca="false">IF(S2&lt;Ipotesi!$F$32,0,IF(S2&lt;Ipotesi!$F$32+Ipotesi!$F$35,Ipotesi!$F$34,MIN(Ipotesi!$F$33,Ipotesi!$F$34+(Ipotesi!$F$33-Ipotesi!$F$34)*(S2-(Ipotesi!$F$32+Ipotesi!$F$35)+1)/Ipotesi!$F$36)))</f>
        <v>250</v>
      </c>
      <c r="T5" s="5" t="n">
        <f aca="false">IF(T2&lt;Ipotesi!$F$32,0,IF(T2&lt;Ipotesi!$F$32+Ipotesi!$F$35,Ipotesi!$F$34,MIN(Ipotesi!$F$33,Ipotesi!$F$34+(Ipotesi!$F$33-Ipotesi!$F$34)*(T2-(Ipotesi!$F$32+Ipotesi!$F$35)+1)/Ipotesi!$F$36)))</f>
        <v>250</v>
      </c>
      <c r="U5" s="5" t="n">
        <f aca="false">IF(U2&lt;Ipotesi!$F$32,0,IF(U2&lt;Ipotesi!$F$32+Ipotesi!$F$35,Ipotesi!$F$34,MIN(Ipotesi!$F$33,Ipotesi!$F$34+(Ipotesi!$F$33-Ipotesi!$F$34)*(U2-(Ipotesi!$F$32+Ipotesi!$F$35)+1)/Ipotesi!$F$36)))</f>
        <v>250</v>
      </c>
      <c r="V5" s="5" t="n">
        <f aca="false">IF(V2&lt;Ipotesi!$F$32,0,IF(V2&lt;Ipotesi!$F$32+Ipotesi!$F$35,Ipotesi!$F$34,MIN(Ipotesi!$F$33,Ipotesi!$F$34+(Ipotesi!$F$33-Ipotesi!$F$34)*(V2-(Ipotesi!$F$32+Ipotesi!$F$35)+1)/Ipotesi!$F$36)))</f>
        <v>250</v>
      </c>
      <c r="W5" s="5" t="n">
        <f aca="false">IF(W2&lt;Ipotesi!$F$32,0,IF(W2&lt;Ipotesi!$F$32+Ipotesi!$F$35,Ipotesi!$F$34,MIN(Ipotesi!$F$33,Ipotesi!$F$34+(Ipotesi!$F$33-Ipotesi!$F$34)*(W2-(Ipotesi!$F$32+Ipotesi!$F$35)+1)/Ipotesi!$F$36)))</f>
        <v>250</v>
      </c>
      <c r="X5" s="5" t="n">
        <f aca="false">IF(X2&lt;Ipotesi!$F$32,0,IF(X2&lt;Ipotesi!$F$32+Ipotesi!$F$35,Ipotesi!$F$34,MIN(Ipotesi!$F$33,Ipotesi!$F$34+(Ipotesi!$F$33-Ipotesi!$F$34)*(X2-(Ipotesi!$F$32+Ipotesi!$F$35)+1)/Ipotesi!$F$36)))</f>
        <v>250</v>
      </c>
      <c r="Y5" s="5" t="n">
        <f aca="false">IF(Y2&lt;Ipotesi!$F$32,0,IF(Y2&lt;Ipotesi!$F$32+Ipotesi!$F$35,Ipotesi!$F$34,MIN(Ipotesi!$F$33,Ipotesi!$F$34+(Ipotesi!$F$33-Ipotesi!$F$34)*(Y2-(Ipotesi!$F$32+Ipotesi!$F$35)+1)/Ipotesi!$F$36)))</f>
        <v>250</v>
      </c>
      <c r="Z5" s="5" t="n">
        <f aca="false">IF(Z2&lt;Ipotesi!$F$32,0,IF(Z2&lt;Ipotesi!$F$32+Ipotesi!$F$35,Ipotesi!$F$34,MIN(Ipotesi!$F$33,Ipotesi!$F$34+(Ipotesi!$F$33-Ipotesi!$F$34)*(Z2-(Ipotesi!$F$32+Ipotesi!$F$35)+1)/Ipotesi!$F$36)))</f>
        <v>250</v>
      </c>
      <c r="AA5" s="5" t="n">
        <f aca="false">IF(AA2&lt;Ipotesi!$F$32,0,IF(AA2&lt;Ipotesi!$F$32+Ipotesi!$F$35,Ipotesi!$F$34,MIN(Ipotesi!$F$33,Ipotesi!$F$34+(Ipotesi!$F$33-Ipotesi!$F$34)*(AA2-(Ipotesi!$F$32+Ipotesi!$F$35)+1)/Ipotesi!$F$36)))</f>
        <v>250</v>
      </c>
      <c r="AB5" s="5" t="n">
        <f aca="false">IF(AB2&lt;Ipotesi!$F$32,0,IF(AB2&lt;Ipotesi!$F$32+Ipotesi!$F$35,Ipotesi!$F$34,MIN(Ipotesi!$F$33,Ipotesi!$F$34+(Ipotesi!$F$33-Ipotesi!$F$34)*(AB2-(Ipotesi!$F$32+Ipotesi!$F$35)+1)/Ipotesi!$F$36)))</f>
        <v>250</v>
      </c>
      <c r="AC5" s="5" t="n">
        <f aca="false">IF(AC2&lt;Ipotesi!$F$32,0,IF(AC2&lt;Ipotesi!$F$32+Ipotesi!$F$35,Ipotesi!$F$34,MIN(Ipotesi!$F$33,Ipotesi!$F$34+(Ipotesi!$F$33-Ipotesi!$F$34)*(AC2-(Ipotesi!$F$32+Ipotesi!$F$35)+1)/Ipotesi!$F$36)))</f>
        <v>250</v>
      </c>
      <c r="AD5" s="5" t="n">
        <f aca="false">IF(AD2&lt;Ipotesi!$F$32,0,IF(AD2&lt;Ipotesi!$F$32+Ipotesi!$F$35,Ipotesi!$F$34,MIN(Ipotesi!$F$33,Ipotesi!$F$34+(Ipotesi!$F$33-Ipotesi!$F$34)*(AD2-(Ipotesi!$F$32+Ipotesi!$F$35)+1)/Ipotesi!$F$36)))</f>
        <v>250</v>
      </c>
      <c r="AE5" s="5" t="n">
        <f aca="false">IF(AE2&lt;Ipotesi!$F$32,0,IF(AE2&lt;Ipotesi!$F$32+Ipotesi!$F$35,Ipotesi!$F$34,MIN(Ipotesi!$F$33,Ipotesi!$F$34+(Ipotesi!$F$33-Ipotesi!$F$34)*(AE2-(Ipotesi!$F$32+Ipotesi!$F$35)+1)/Ipotesi!$F$36)))</f>
        <v>250</v>
      </c>
      <c r="AF5" s="5" t="n">
        <f aca="false">IF(AF2&lt;Ipotesi!$F$32,0,IF(AF2&lt;Ipotesi!$F$32+Ipotesi!$F$35,Ipotesi!$F$34,MIN(Ipotesi!$F$33,Ipotesi!$F$34+(Ipotesi!$F$33-Ipotesi!$F$34)*(AF2-(Ipotesi!$F$32+Ipotesi!$F$35)+1)/Ipotesi!$F$36)))</f>
        <v>250</v>
      </c>
      <c r="AG5" s="5" t="n">
        <f aca="false">IF(AG2&lt;Ipotesi!$F$32,0,IF(AG2&lt;Ipotesi!$F$32+Ipotesi!$F$35,Ipotesi!$F$34,MIN(Ipotesi!$F$33,Ipotesi!$F$34+(Ipotesi!$F$33-Ipotesi!$F$34)*(AG2-(Ipotesi!$F$32+Ipotesi!$F$35)+1)/Ipotesi!$F$36)))</f>
        <v>250</v>
      </c>
      <c r="AH5" s="5" t="n">
        <f aca="false">IF(AH2&lt;Ipotesi!$F$32,0,IF(AH2&lt;Ipotesi!$F$32+Ipotesi!$F$35,Ipotesi!$F$34,MIN(Ipotesi!$F$33,Ipotesi!$F$34+(Ipotesi!$F$33-Ipotesi!$F$34)*(AH2-(Ipotesi!$F$32+Ipotesi!$F$35)+1)/Ipotesi!$F$36)))</f>
        <v>250</v>
      </c>
      <c r="AI5" s="5" t="n">
        <f aca="false">IF(AI2&lt;Ipotesi!$F$32,0,IF(AI2&lt;Ipotesi!$F$32+Ipotesi!$F$35,Ipotesi!$F$34,MIN(Ipotesi!$F$33,Ipotesi!$F$34+(Ipotesi!$F$33-Ipotesi!$F$34)*(AI2-(Ipotesi!$F$32+Ipotesi!$F$35)+1)/Ipotesi!$F$36)))</f>
        <v>250</v>
      </c>
      <c r="AJ5" s="5" t="n">
        <f aca="false">IF(AJ2&lt;Ipotesi!$F$32,0,IF(AJ2&lt;Ipotesi!$F$32+Ipotesi!$F$35,Ipotesi!$F$34,MIN(Ipotesi!$F$33,Ipotesi!$F$34+(Ipotesi!$F$33-Ipotesi!$F$34)*(AJ2-(Ipotesi!$F$32+Ipotesi!$F$35)+1)/Ipotesi!$F$36)))</f>
        <v>250</v>
      </c>
      <c r="AK5" s="5" t="n">
        <f aca="false">IF(AK2&lt;Ipotesi!$F$32,0,IF(AK2&lt;Ipotesi!$F$32+Ipotesi!$F$35,Ipotesi!$F$34,MIN(Ipotesi!$F$33,Ipotesi!$F$34+(Ipotesi!$F$33-Ipotesi!$F$34)*(AK2-(Ipotesi!$F$32+Ipotesi!$F$35)+1)/Ipotesi!$F$36)))</f>
        <v>250</v>
      </c>
    </row>
    <row r="6" customFormat="false" ht="15" hidden="false" customHeight="false" outlineLevel="0" collapsed="false">
      <c r="A6" s="0" t="s">
        <v>91</v>
      </c>
      <c r="B6" s="0" t="n">
        <f aca="false">IF(AND(B2&gt;=Ipotesi!$F$38,B3=1),MIN(Ipotesi!$F$39,0+Ipotesi!$F$40),0)</f>
        <v>0</v>
      </c>
      <c r="C6" s="0" t="n">
        <f aca="false">IF(AND(C2&gt;=Ipotesi!$F$38,C3=1),MIN(Ipotesi!$F$39,B6+Ipotesi!$F$40),B6)</f>
        <v>0</v>
      </c>
      <c r="D6" s="0" t="n">
        <f aca="false">IF(AND(D2&gt;=Ipotesi!$F$38,D3=1),MIN(Ipotesi!$F$39,C6+Ipotesi!$F$40),C6)</f>
        <v>0</v>
      </c>
      <c r="E6" s="0" t="n">
        <f aca="false">IF(AND(E2&gt;=Ipotesi!$F$38,E3=1),MIN(Ipotesi!$F$39,D6+Ipotesi!$F$40),D6)</f>
        <v>0</v>
      </c>
      <c r="F6" s="0" t="n">
        <f aca="false">IF(AND(F2&gt;=Ipotesi!$F$38,F3=1),MIN(Ipotesi!$F$39,E6+Ipotesi!$F$40),E6)</f>
        <v>0</v>
      </c>
      <c r="G6" s="0" t="n">
        <f aca="false">IF(AND(G2&gt;=Ipotesi!$F$38,G3=1),MIN(Ipotesi!$F$39,F6+Ipotesi!$F$40),F6)</f>
        <v>0</v>
      </c>
      <c r="H6" s="0" t="n">
        <f aca="false">IF(AND(H2&gt;=Ipotesi!$F$38,H3=1),MIN(Ipotesi!$F$39,G6+Ipotesi!$F$40),G6)</f>
        <v>0</v>
      </c>
      <c r="I6" s="0" t="n">
        <f aca="false">IF(AND(I2&gt;=Ipotesi!$F$38,I3=1),MIN(Ipotesi!$F$39,H6+Ipotesi!$F$40),H6)</f>
        <v>0</v>
      </c>
      <c r="J6" s="0" t="n">
        <f aca="false">IF(AND(J2&gt;=Ipotesi!$F$38,J3=1),MIN(Ipotesi!$F$39,I6+Ipotesi!$F$40),I6)</f>
        <v>0</v>
      </c>
      <c r="K6" s="0" t="n">
        <f aca="false">IF(AND(K2&gt;=Ipotesi!$F$38,K3=1),MIN(Ipotesi!$F$39,J6+Ipotesi!$F$40),J6)</f>
        <v>0</v>
      </c>
      <c r="L6" s="0" t="n">
        <f aca="false">IF(AND(L2&gt;=Ipotesi!$F$38,L3=1),MIN(Ipotesi!$F$39,K6+Ipotesi!$F$40),K6)</f>
        <v>0</v>
      </c>
      <c r="M6" s="0" t="n">
        <f aca="false">IF(AND(M2&gt;=Ipotesi!$F$38,M3=1),MIN(Ipotesi!$F$39,L6+Ipotesi!$F$40),L6)</f>
        <v>0</v>
      </c>
      <c r="N6" s="0" t="n">
        <f aca="false">IF(AND(N2&gt;=Ipotesi!$F$38,N3=1),MIN(Ipotesi!$F$39,M6+Ipotesi!$F$40),M6)</f>
        <v>0</v>
      </c>
      <c r="O6" s="0" t="n">
        <f aca="false">IF(AND(O2&gt;=Ipotesi!$F$38,O3=1),MIN(Ipotesi!$F$39,N6+Ipotesi!$F$40),N6)</f>
        <v>0.6</v>
      </c>
      <c r="P6" s="0" t="n">
        <f aca="false">IF(AND(P2&gt;=Ipotesi!$F$38,P3=1),MIN(Ipotesi!$F$39,O6+Ipotesi!$F$40),O6)</f>
        <v>1.2</v>
      </c>
      <c r="Q6" s="0" t="n">
        <f aca="false">IF(AND(Q2&gt;=Ipotesi!$F$38,Q3=1),MIN(Ipotesi!$F$39,P6+Ipotesi!$F$40),P6)</f>
        <v>1.8</v>
      </c>
      <c r="R6" s="0" t="n">
        <f aca="false">IF(AND(R2&gt;=Ipotesi!$F$38,R3=1),MIN(Ipotesi!$F$39,Q6+Ipotesi!$F$40),Q6)</f>
        <v>2.4</v>
      </c>
      <c r="S6" s="0" t="n">
        <f aca="false">IF(AND(S2&gt;=Ipotesi!$F$38,S3=1),MIN(Ipotesi!$F$39,R6+Ipotesi!$F$40),R6)</f>
        <v>3</v>
      </c>
      <c r="T6" s="0" t="n">
        <f aca="false">IF(AND(T2&gt;=Ipotesi!$F$38,T3=1),MIN(Ipotesi!$F$39,S6+Ipotesi!$F$40),S6)</f>
        <v>3.6</v>
      </c>
      <c r="U6" s="0" t="n">
        <f aca="false">IF(AND(U2&gt;=Ipotesi!$F$38,U3=1),MIN(Ipotesi!$F$39,T6+Ipotesi!$F$40),T6)</f>
        <v>4.2</v>
      </c>
      <c r="V6" s="0" t="n">
        <f aca="false">IF(AND(V2&gt;=Ipotesi!$F$38,V3=1),MIN(Ipotesi!$F$39,U6+Ipotesi!$F$40),U6)</f>
        <v>4.8</v>
      </c>
      <c r="W6" s="0" t="n">
        <f aca="false">IF(AND(W2&gt;=Ipotesi!$F$38,W3=1),MIN(Ipotesi!$F$39,V6+Ipotesi!$F$40),V6)</f>
        <v>5.4</v>
      </c>
      <c r="X6" s="0" t="n">
        <f aca="false">IF(AND(X2&gt;=Ipotesi!$F$38,X3=1),MIN(Ipotesi!$F$39,W6+Ipotesi!$F$40),W6)</f>
        <v>6</v>
      </c>
      <c r="Y6" s="0" t="n">
        <f aca="false">IF(AND(Y2&gt;=Ipotesi!$F$38,Y3=1),MIN(Ipotesi!$F$39,X6+Ipotesi!$F$40),X6)</f>
        <v>6.6</v>
      </c>
      <c r="Z6" s="0" t="n">
        <f aca="false">IF(AND(Z2&gt;=Ipotesi!$F$38,Z3=1),MIN(Ipotesi!$F$39,Y6+Ipotesi!$F$40),Y6)</f>
        <v>7.2</v>
      </c>
      <c r="AA6" s="0" t="n">
        <f aca="false">IF(AND(AA2&gt;=Ipotesi!$F$38,AA3=1),MIN(Ipotesi!$F$39,Z6+Ipotesi!$F$40),Z6)</f>
        <v>7.8</v>
      </c>
      <c r="AB6" s="0" t="n">
        <f aca="false">IF(AND(AB2&gt;=Ipotesi!$F$38,AB3=1),MIN(Ipotesi!$F$39,AA6+Ipotesi!$F$40),AA6)</f>
        <v>8.4</v>
      </c>
      <c r="AC6" s="0" t="n">
        <f aca="false">IF(AND(AC2&gt;=Ipotesi!$F$38,AC3=1),MIN(Ipotesi!$F$39,AB6+Ipotesi!$F$40),AB6)</f>
        <v>9</v>
      </c>
      <c r="AD6" s="0" t="n">
        <f aca="false">IF(AND(AD2&gt;=Ipotesi!$F$38,AD3=1),MIN(Ipotesi!$F$39,AC6+Ipotesi!$F$40),AC6)</f>
        <v>9</v>
      </c>
      <c r="AE6" s="0" t="n">
        <f aca="false">IF(AND(AE2&gt;=Ipotesi!$F$38,AE3=1),MIN(Ipotesi!$F$39,AD6+Ipotesi!$F$40),AD6)</f>
        <v>9</v>
      </c>
      <c r="AF6" s="0" t="n">
        <f aca="false">IF(AND(AF2&gt;=Ipotesi!$F$38,AF3=1),MIN(Ipotesi!$F$39,AE6+Ipotesi!$F$40),AE6)</f>
        <v>9</v>
      </c>
      <c r="AG6" s="0" t="n">
        <f aca="false">IF(AND(AG2&gt;=Ipotesi!$F$38,AG3=1),MIN(Ipotesi!$F$39,AF6+Ipotesi!$F$40),AF6)</f>
        <v>9</v>
      </c>
      <c r="AH6" s="0" t="n">
        <f aca="false">IF(AND(AH2&gt;=Ipotesi!$F$38,AH3=1),MIN(Ipotesi!$F$39,AG6+Ipotesi!$F$40),AG6)</f>
        <v>9</v>
      </c>
      <c r="AI6" s="0" t="n">
        <f aca="false">IF(AND(AI2&gt;=Ipotesi!$F$38,AI3=1),MIN(Ipotesi!$F$39,AH6+Ipotesi!$F$40),AH6)</f>
        <v>9</v>
      </c>
      <c r="AJ6" s="0" t="n">
        <f aca="false">IF(AND(AJ2&gt;=Ipotesi!$F$38,AJ3=1),MIN(Ipotesi!$F$39,AI6+Ipotesi!$F$40),AI6)</f>
        <v>9</v>
      </c>
      <c r="AK6" s="0" t="n">
        <f aca="false">IF(AND(AK2&gt;=Ipotesi!$F$38,AK3=1),MIN(Ipotesi!$F$39,AJ6+Ipotesi!$F$40),AJ6)</f>
        <v>9</v>
      </c>
    </row>
    <row r="7" customFormat="false" ht="15" hidden="false" customHeight="false" outlineLevel="0" collapsed="false">
      <c r="A7" s="0" t="s">
        <v>92</v>
      </c>
      <c r="B7" s="0" t="n">
        <f aca="false">IF(AND(B2&gt;=Ipotesi!$F$41,B3=1),0*(1-Ipotesi!$F$44)+Ipotesi!$F$42,0)</f>
        <v>0</v>
      </c>
      <c r="C7" s="0" t="n">
        <f aca="false">IF(AND(C2&gt;=Ipotesi!$F$41,C3=1),B7*(1-Ipotesi!$F$44)+Ipotesi!$F$42,B7)</f>
        <v>0</v>
      </c>
      <c r="D7" s="0" t="n">
        <f aca="false">IF(AND(D2&gt;=Ipotesi!$F$41,D3=1),C7*(1-Ipotesi!$F$44)+Ipotesi!$F$42,C7)</f>
        <v>0</v>
      </c>
      <c r="E7" s="0" t="n">
        <f aca="false">IF(AND(E2&gt;=Ipotesi!$F$41,E3=1),D7*(1-Ipotesi!$F$44)+Ipotesi!$F$42,D7)</f>
        <v>0</v>
      </c>
      <c r="F7" s="0" t="n">
        <f aca="false">IF(AND(F2&gt;=Ipotesi!$F$41,F3=1),E7*(1-Ipotesi!$F$44)+Ipotesi!$F$42,E7)</f>
        <v>0</v>
      </c>
      <c r="G7" s="0" t="n">
        <f aca="false">IF(AND(G2&gt;=Ipotesi!$F$41,G3=1),F7*(1-Ipotesi!$F$44)+Ipotesi!$F$42,F7)</f>
        <v>0</v>
      </c>
      <c r="H7" s="0" t="n">
        <f aca="false">IF(AND(H2&gt;=Ipotesi!$F$41,H3=1),G7*(1-Ipotesi!$F$44)+Ipotesi!$F$42,G7)</f>
        <v>0</v>
      </c>
      <c r="I7" s="0" t="n">
        <f aca="false">IF(AND(I2&gt;=Ipotesi!$F$41,I3=1),H7*(1-Ipotesi!$F$44)+Ipotesi!$F$42,H7)</f>
        <v>0</v>
      </c>
      <c r="J7" s="0" t="n">
        <f aca="false">IF(AND(J2&gt;=Ipotesi!$F$41,J3=1),I7*(1-Ipotesi!$F$44)+Ipotesi!$F$42,I7)</f>
        <v>0</v>
      </c>
      <c r="K7" s="0" t="n">
        <f aca="false">IF(AND(K2&gt;=Ipotesi!$F$41,K3=1),J7*(1-Ipotesi!$F$44)+Ipotesi!$F$42,J7)</f>
        <v>0</v>
      </c>
      <c r="L7" s="0" t="n">
        <f aca="false">IF(AND(L2&gt;=Ipotesi!$F$41,L3=1),K7*(1-Ipotesi!$F$44)+Ipotesi!$F$42,K7)</f>
        <v>0</v>
      </c>
      <c r="M7" s="0" t="n">
        <f aca="false">IF(AND(M2&gt;=Ipotesi!$F$41,M3=1),L7*(1-Ipotesi!$F$44)+Ipotesi!$F$42,L7)</f>
        <v>0</v>
      </c>
      <c r="N7" s="0" t="n">
        <f aca="false">IF(AND(N2&gt;=Ipotesi!$F$41,N3=1),M7*(1-Ipotesi!$F$44)+Ipotesi!$F$42,M7)</f>
        <v>0</v>
      </c>
      <c r="O7" s="0" t="n">
        <f aca="false">IF(AND(O2&gt;=Ipotesi!$F$41,O3=1),N7*(1-Ipotesi!$F$44)+Ipotesi!$F$42,N7)</f>
        <v>0</v>
      </c>
      <c r="P7" s="0" t="n">
        <f aca="false">IF(AND(P2&gt;=Ipotesi!$F$41,P3=1),O7*(1-Ipotesi!$F$44)+Ipotesi!$F$42,O7)</f>
        <v>0</v>
      </c>
      <c r="Q7" s="0" t="n">
        <f aca="false">IF(AND(Q2&gt;=Ipotesi!$F$41,Q3=1),P7*(1-Ipotesi!$F$44)+Ipotesi!$F$42,P7)</f>
        <v>0</v>
      </c>
      <c r="R7" s="0" t="n">
        <f aca="false">IF(AND(R2&gt;=Ipotesi!$F$41,R3=1),Q7*(1-Ipotesi!$F$44)+Ipotesi!$F$42,Q7)</f>
        <v>0</v>
      </c>
      <c r="S7" s="0" t="n">
        <f aca="false">IF(AND(S2&gt;=Ipotesi!$F$41,S3=1),R7*(1-Ipotesi!$F$44)+Ipotesi!$F$42,R7)</f>
        <v>0</v>
      </c>
      <c r="T7" s="0" t="n">
        <f aca="false">IF(AND(T2&gt;=Ipotesi!$F$41,T3=1),S7*(1-Ipotesi!$F$44)+Ipotesi!$F$42,S7)</f>
        <v>0</v>
      </c>
      <c r="U7" s="0" t="n">
        <f aca="false">IF(AND(U2&gt;=Ipotesi!$F$41,U3=1),T7*(1-Ipotesi!$F$44)+Ipotesi!$F$42,T7)</f>
        <v>0</v>
      </c>
      <c r="V7" s="0" t="n">
        <f aca="false">IF(AND(V2&gt;=Ipotesi!$F$41,V3=1),U7*(1-Ipotesi!$F$44)+Ipotesi!$F$42,U7)</f>
        <v>0</v>
      </c>
      <c r="W7" s="0" t="n">
        <f aca="false">IF(AND(W2&gt;=Ipotesi!$F$41,W3=1),V7*(1-Ipotesi!$F$44)+Ipotesi!$F$42,V7)</f>
        <v>0</v>
      </c>
      <c r="X7" s="0" t="n">
        <f aca="false">IF(AND(X2&gt;=Ipotesi!$F$41,X3=1),W7*(1-Ipotesi!$F$44)+Ipotesi!$F$42,W7)</f>
        <v>0</v>
      </c>
      <c r="Y7" s="0" t="n">
        <f aca="false">IF(AND(Y2&gt;=Ipotesi!$F$41,Y3=1),X7*(1-Ipotesi!$F$44)+Ipotesi!$F$42,X7)</f>
        <v>0</v>
      </c>
      <c r="Z7" s="0" t="n">
        <f aca="false">IF(AND(Z2&gt;=Ipotesi!$F$41,Z3=1),Y7*(1-Ipotesi!$F$44)+Ipotesi!$F$42,Y7)</f>
        <v>0</v>
      </c>
      <c r="AA7" s="0" t="n">
        <f aca="false">IF(AND(AA2&gt;=Ipotesi!$F$41,AA3=1),Z7*(1-Ipotesi!$F$44)+Ipotesi!$F$42,Z7)</f>
        <v>0</v>
      </c>
      <c r="AB7" s="0" t="n">
        <f aca="false">IF(AND(AB2&gt;=Ipotesi!$F$41,AB3=1),AA7*(1-Ipotesi!$F$44)+Ipotesi!$F$42,AA7)</f>
        <v>0</v>
      </c>
      <c r="AC7" s="0" t="n">
        <f aca="false">IF(AND(AC2&gt;=Ipotesi!$F$41,AC3=1),AB7*(1-Ipotesi!$F$44)+Ipotesi!$F$42,AB7)</f>
        <v>0</v>
      </c>
      <c r="AD7" s="0" t="n">
        <f aca="false">IF(AND(AD2&gt;=Ipotesi!$F$41,AD3=1),AC7*(1-Ipotesi!$F$44)+Ipotesi!$F$42,AC7)</f>
        <v>1</v>
      </c>
      <c r="AE7" s="0" t="n">
        <f aca="false">IF(AND(AE2&gt;=Ipotesi!$F$41,AE3=1),AD7*(1-Ipotesi!$F$44)+Ipotesi!$F$42,AD7)</f>
        <v>1.99</v>
      </c>
      <c r="AF7" s="0" t="n">
        <f aca="false">IF(AND(AF2&gt;=Ipotesi!$F$41,AF3=1),AE7*(1-Ipotesi!$F$44)+Ipotesi!$F$42,AE7)</f>
        <v>2.9701</v>
      </c>
      <c r="AG7" s="0" t="n">
        <f aca="false">IF(AND(AG2&gt;=Ipotesi!$F$41,AG3=1),AF7*(1-Ipotesi!$F$44)+Ipotesi!$F$42,AF7)</f>
        <v>3.940399</v>
      </c>
      <c r="AH7" s="0" t="n">
        <f aca="false">IF(AND(AH2&gt;=Ipotesi!$F$41,AH3=1),AG7*(1-Ipotesi!$F$44)+Ipotesi!$F$42,AG7)</f>
        <v>4.90099501</v>
      </c>
      <c r="AI7" s="0" t="n">
        <f aca="false">IF(AND(AI2&gt;=Ipotesi!$F$41,AI3=1),AH7*(1-Ipotesi!$F$44)+Ipotesi!$F$42,AH7)</f>
        <v>5.8519850599</v>
      </c>
      <c r="AJ7" s="0" t="n">
        <f aca="false">IF(AND(AJ2&gt;=Ipotesi!$F$41,AJ3=1),AI7*(1-Ipotesi!$F$44)+Ipotesi!$F$42,AI7)</f>
        <v>6.793465209301</v>
      </c>
      <c r="AK7" s="0" t="n">
        <f aca="false">IF(AND(AK2&gt;=Ipotesi!$F$41,AK3=1),AJ7*(1-Ipotesi!$F$44)+Ipotesi!$F$42,AJ7)</f>
        <v>7.72553055720799</v>
      </c>
    </row>
    <row r="8" customFormat="false" ht="15" hidden="false" customHeight="false" outlineLevel="0" collapsed="false">
      <c r="A8" s="0" t="s">
        <v>93</v>
      </c>
      <c r="B8" s="0" t="n">
        <f aca="false">IF(B2&gt;=Ipotesi!$F$45,0*(1-Ipotesi!$F$47)+Ipotesi!$F$46,0)</f>
        <v>0</v>
      </c>
      <c r="C8" s="0" t="n">
        <f aca="false">IF(C2&gt;=Ipotesi!$F$45,B8*(1-Ipotesi!$F$47)+Ipotesi!$F$46,B8)</f>
        <v>0</v>
      </c>
      <c r="D8" s="0" t="n">
        <f aca="false">IF(D2&gt;=Ipotesi!$F$45,C8*(1-Ipotesi!$F$47)+Ipotesi!$F$46,C8)</f>
        <v>0</v>
      </c>
      <c r="E8" s="0" t="n">
        <f aca="false">IF(E2&gt;=Ipotesi!$F$45,D8*(1-Ipotesi!$F$47)+Ipotesi!$F$46,D8)</f>
        <v>0</v>
      </c>
      <c r="F8" s="0" t="n">
        <f aca="false">IF(F2&gt;=Ipotesi!$F$45,E8*(1-Ipotesi!$F$47)+Ipotesi!$F$46,E8)</f>
        <v>0</v>
      </c>
      <c r="G8" s="0" t="n">
        <f aca="false">IF(G2&gt;=Ipotesi!$F$45,F8*(1-Ipotesi!$F$47)+Ipotesi!$F$46,F8)</f>
        <v>0</v>
      </c>
      <c r="H8" s="0" t="n">
        <f aca="false">IF(H2&gt;=Ipotesi!$F$45,G8*(1-Ipotesi!$F$47)+Ipotesi!$F$46,G8)</f>
        <v>0</v>
      </c>
      <c r="I8" s="0" t="n">
        <f aca="false">IF(I2&gt;=Ipotesi!$F$45,H8*(1-Ipotesi!$F$47)+Ipotesi!$F$46,H8)</f>
        <v>0</v>
      </c>
      <c r="J8" s="0" t="n">
        <f aca="false">IF(J2&gt;=Ipotesi!$F$45,I8*(1-Ipotesi!$F$47)+Ipotesi!$F$46,I8)</f>
        <v>0</v>
      </c>
      <c r="K8" s="0" t="n">
        <f aca="false">IF(K2&gt;=Ipotesi!$F$45,J8*(1-Ipotesi!$F$47)+Ipotesi!$F$46,J8)</f>
        <v>6</v>
      </c>
      <c r="L8" s="0" t="n">
        <f aca="false">IF(L2&gt;=Ipotesi!$F$45,K8*(1-Ipotesi!$F$47)+Ipotesi!$F$46,K8)</f>
        <v>11.82</v>
      </c>
      <c r="M8" s="0" t="n">
        <f aca="false">IF(M2&gt;=Ipotesi!$F$45,L8*(1-Ipotesi!$F$47)+Ipotesi!$F$46,L8)</f>
        <v>17.4654</v>
      </c>
      <c r="N8" s="0" t="n">
        <f aca="false">IF(N2&gt;=Ipotesi!$F$45,M8*(1-Ipotesi!$F$47)+Ipotesi!$F$46,M8)</f>
        <v>22.941438</v>
      </c>
      <c r="O8" s="0" t="n">
        <f aca="false">IF(O2&gt;=Ipotesi!$F$45,N8*(1-Ipotesi!$F$47)+Ipotesi!$F$46,N8)</f>
        <v>28.25319486</v>
      </c>
      <c r="P8" s="0" t="n">
        <f aca="false">IF(P2&gt;=Ipotesi!$F$45,O8*(1-Ipotesi!$F$47)+Ipotesi!$F$46,O8)</f>
        <v>33.4055990142</v>
      </c>
      <c r="Q8" s="0" t="n">
        <f aca="false">IF(Q2&gt;=Ipotesi!$F$45,P8*(1-Ipotesi!$F$47)+Ipotesi!$F$46,P8)</f>
        <v>38.403431043774</v>
      </c>
      <c r="R8" s="0" t="n">
        <f aca="false">IF(R2&gt;=Ipotesi!$F$45,Q8*(1-Ipotesi!$F$47)+Ipotesi!$F$46,Q8)</f>
        <v>43.2513281124608</v>
      </c>
      <c r="S8" s="0" t="n">
        <f aca="false">IF(S2&gt;=Ipotesi!$F$45,R8*(1-Ipotesi!$F$47)+Ipotesi!$F$46,R8)</f>
        <v>47.953788269087</v>
      </c>
      <c r="T8" s="0" t="n">
        <f aca="false">IF(T2&gt;=Ipotesi!$F$45,S8*(1-Ipotesi!$F$47)+Ipotesi!$F$46,S8)</f>
        <v>52.5151746210143</v>
      </c>
      <c r="U8" s="0" t="n">
        <f aca="false">IF(U2&gt;=Ipotesi!$F$45,T8*(1-Ipotesi!$F$47)+Ipotesi!$F$46,T8)</f>
        <v>56.9397193823839</v>
      </c>
      <c r="V8" s="0" t="n">
        <f aca="false">IF(V2&gt;=Ipotesi!$F$45,U8*(1-Ipotesi!$F$47)+Ipotesi!$F$46,U8)</f>
        <v>61.2315278009124</v>
      </c>
      <c r="W8" s="0" t="n">
        <f aca="false">IF(W2&gt;=Ipotesi!$F$45,V8*(1-Ipotesi!$F$47)+Ipotesi!$F$46,V8)</f>
        <v>65.394581966885</v>
      </c>
      <c r="X8" s="0" t="n">
        <f aca="false">IF(X2&gt;=Ipotesi!$F$45,W8*(1-Ipotesi!$F$47)+Ipotesi!$F$46,W8)</f>
        <v>69.4327445078785</v>
      </c>
      <c r="Y8" s="0" t="n">
        <f aca="false">IF(Y2&gt;=Ipotesi!$F$45,X8*(1-Ipotesi!$F$47)+Ipotesi!$F$46,X8)</f>
        <v>73.3497621726421</v>
      </c>
      <c r="Z8" s="0" t="n">
        <f aca="false">IF(Z2&gt;=Ipotesi!$F$45,Y8*(1-Ipotesi!$F$47)+Ipotesi!$F$46,Y8)</f>
        <v>77.1492693074628</v>
      </c>
      <c r="AA8" s="0" t="n">
        <f aca="false">IF(AA2&gt;=Ipotesi!$F$45,Z8*(1-Ipotesi!$F$47)+Ipotesi!$F$46,Z8)</f>
        <v>80.8347912282389</v>
      </c>
      <c r="AB8" s="0" t="n">
        <f aca="false">IF(AB2&gt;=Ipotesi!$F$45,AA8*(1-Ipotesi!$F$47)+Ipotesi!$F$46,AA8)</f>
        <v>84.4097474913918</v>
      </c>
      <c r="AC8" s="0" t="n">
        <f aca="false">IF(AC2&gt;=Ipotesi!$F$45,AB8*(1-Ipotesi!$F$47)+Ipotesi!$F$46,AB8)</f>
        <v>87.87745506665</v>
      </c>
      <c r="AD8" s="0" t="n">
        <f aca="false">IF(AD2&gt;=Ipotesi!$F$45,AC8*(1-Ipotesi!$F$47)+Ipotesi!$F$46,AC8)</f>
        <v>91.2411314146505</v>
      </c>
      <c r="AE8" s="0" t="n">
        <f aca="false">IF(AE2&gt;=Ipotesi!$F$45,AD8*(1-Ipotesi!$F$47)+Ipotesi!$F$46,AD8)</f>
        <v>94.503897472211</v>
      </c>
      <c r="AF8" s="0" t="n">
        <f aca="false">IF(AF2&gt;=Ipotesi!$F$45,AE8*(1-Ipotesi!$F$47)+Ipotesi!$F$46,AE8)</f>
        <v>97.6687805480447</v>
      </c>
      <c r="AG8" s="0" t="n">
        <f aca="false">IF(AG2&gt;=Ipotesi!$F$45,AF8*(1-Ipotesi!$F$47)+Ipotesi!$F$46,AF8)</f>
        <v>100.738717131603</v>
      </c>
      <c r="AH8" s="0" t="n">
        <f aca="false">IF(AH2&gt;=Ipotesi!$F$45,AG8*(1-Ipotesi!$F$47)+Ipotesi!$F$46,AG8)</f>
        <v>103.716555617655</v>
      </c>
      <c r="AI8" s="0" t="n">
        <f aca="false">IF(AI2&gt;=Ipotesi!$F$45,AH8*(1-Ipotesi!$F$47)+Ipotesi!$F$46,AH8)</f>
        <v>106.605058949126</v>
      </c>
      <c r="AJ8" s="0" t="n">
        <f aca="false">IF(AJ2&gt;=Ipotesi!$F$45,AI8*(1-Ipotesi!$F$47)+Ipotesi!$F$46,AI8)</f>
        <v>109.406907180652</v>
      </c>
      <c r="AK8" s="0" t="n">
        <f aca="false">IF(AK2&gt;=Ipotesi!$F$45,AJ8*(1-Ipotesi!$F$47)+Ipotesi!$F$46,AJ8)</f>
        <v>112.124699965232</v>
      </c>
    </row>
    <row r="9" customFormat="false" ht="15" hidden="false" customHeight="false" outlineLevel="0" collapsed="false">
      <c r="A9" s="0" t="s">
        <v>94</v>
      </c>
      <c r="B9" s="5" t="n">
        <f aca="false">B6*Ipotesi!$F$43</f>
        <v>0</v>
      </c>
      <c r="C9" s="5" t="n">
        <f aca="false">C6*Ipotesi!$F$43</f>
        <v>0</v>
      </c>
      <c r="D9" s="5" t="n">
        <f aca="false">D6*Ipotesi!$F$43</f>
        <v>0</v>
      </c>
      <c r="E9" s="5" t="n">
        <f aca="false">E6*Ipotesi!$F$43</f>
        <v>0</v>
      </c>
      <c r="F9" s="5" t="n">
        <f aca="false">F6*Ipotesi!$F$43</f>
        <v>0</v>
      </c>
      <c r="G9" s="5" t="n">
        <f aca="false">G6*Ipotesi!$F$43</f>
        <v>0</v>
      </c>
      <c r="H9" s="5" t="n">
        <f aca="false">H6*Ipotesi!$F$43</f>
        <v>0</v>
      </c>
      <c r="I9" s="5" t="n">
        <f aca="false">I6*Ipotesi!$F$43</f>
        <v>0</v>
      </c>
      <c r="J9" s="5" t="n">
        <f aca="false">J6*Ipotesi!$F$43</f>
        <v>0</v>
      </c>
      <c r="K9" s="5" t="n">
        <f aca="false">K6*Ipotesi!$F$43</f>
        <v>0</v>
      </c>
      <c r="L9" s="5" t="n">
        <f aca="false">L6*Ipotesi!$F$43</f>
        <v>0</v>
      </c>
      <c r="M9" s="5" t="n">
        <f aca="false">M6*Ipotesi!$F$43</f>
        <v>0</v>
      </c>
      <c r="N9" s="5" t="n">
        <f aca="false">N6*Ipotesi!$F$43</f>
        <v>0</v>
      </c>
      <c r="O9" s="5" t="n">
        <f aca="false">O6*Ipotesi!$F$43</f>
        <v>24</v>
      </c>
      <c r="P9" s="5" t="n">
        <f aca="false">P6*Ipotesi!$F$43</f>
        <v>48</v>
      </c>
      <c r="Q9" s="5" t="n">
        <f aca="false">Q6*Ipotesi!$F$43</f>
        <v>72</v>
      </c>
      <c r="R9" s="5" t="n">
        <f aca="false">R6*Ipotesi!$F$43</f>
        <v>96</v>
      </c>
      <c r="S9" s="5" t="n">
        <f aca="false">S6*Ipotesi!$F$43</f>
        <v>120</v>
      </c>
      <c r="T9" s="5" t="n">
        <f aca="false">T6*Ipotesi!$F$43</f>
        <v>144</v>
      </c>
      <c r="U9" s="5" t="n">
        <f aca="false">U6*Ipotesi!$F$43</f>
        <v>168</v>
      </c>
      <c r="V9" s="5" t="n">
        <f aca="false">V6*Ipotesi!$F$43</f>
        <v>192</v>
      </c>
      <c r="W9" s="5" t="n">
        <f aca="false">W6*Ipotesi!$F$43</f>
        <v>216</v>
      </c>
      <c r="X9" s="5" t="n">
        <f aca="false">X6*Ipotesi!$F$43</f>
        <v>240</v>
      </c>
      <c r="Y9" s="5" t="n">
        <f aca="false">Y6*Ipotesi!$F$43</f>
        <v>264</v>
      </c>
      <c r="Z9" s="5" t="n">
        <f aca="false">Z6*Ipotesi!$F$43</f>
        <v>288</v>
      </c>
      <c r="AA9" s="5" t="n">
        <f aca="false">AA6*Ipotesi!$F$43</f>
        <v>312</v>
      </c>
      <c r="AB9" s="5" t="n">
        <f aca="false">AB6*Ipotesi!$F$43</f>
        <v>336</v>
      </c>
      <c r="AC9" s="5" t="n">
        <f aca="false">AC6*Ipotesi!$F$43</f>
        <v>360</v>
      </c>
      <c r="AD9" s="5" t="n">
        <f aca="false">AD6*Ipotesi!$F$43</f>
        <v>360</v>
      </c>
      <c r="AE9" s="5" t="n">
        <f aca="false">AE6*Ipotesi!$F$43</f>
        <v>360</v>
      </c>
      <c r="AF9" s="5" t="n">
        <f aca="false">AF6*Ipotesi!$F$43</f>
        <v>360</v>
      </c>
      <c r="AG9" s="5" t="n">
        <f aca="false">AG6*Ipotesi!$F$43</f>
        <v>360</v>
      </c>
      <c r="AH9" s="5" t="n">
        <f aca="false">AH6*Ipotesi!$F$43</f>
        <v>360</v>
      </c>
      <c r="AI9" s="5" t="n">
        <f aca="false">AI6*Ipotesi!$F$43</f>
        <v>360</v>
      </c>
      <c r="AJ9" s="5" t="n">
        <f aca="false">AJ6*Ipotesi!$F$43</f>
        <v>360</v>
      </c>
      <c r="AK9" s="5" t="n">
        <f aca="false">AK6*Ipotesi!$F$43</f>
        <v>360</v>
      </c>
    </row>
    <row r="10" customFormat="false" ht="15" hidden="false" customHeight="false" outlineLevel="0" collapsed="false">
      <c r="A10" s="0" t="s">
        <v>95</v>
      </c>
      <c r="B10" s="5" t="n">
        <f aca="false">B7*Ipotesi!$F$43</f>
        <v>0</v>
      </c>
      <c r="C10" s="5" t="n">
        <f aca="false">C7*Ipotesi!$F$43</f>
        <v>0</v>
      </c>
      <c r="D10" s="5" t="n">
        <f aca="false">D7*Ipotesi!$F$43</f>
        <v>0</v>
      </c>
      <c r="E10" s="5" t="n">
        <f aca="false">E7*Ipotesi!$F$43</f>
        <v>0</v>
      </c>
      <c r="F10" s="5" t="n">
        <f aca="false">F7*Ipotesi!$F$43</f>
        <v>0</v>
      </c>
      <c r="G10" s="5" t="n">
        <f aca="false">G7*Ipotesi!$F$43</f>
        <v>0</v>
      </c>
      <c r="H10" s="5" t="n">
        <f aca="false">H7*Ipotesi!$F$43</f>
        <v>0</v>
      </c>
      <c r="I10" s="5" t="n">
        <f aca="false">I7*Ipotesi!$F$43</f>
        <v>0</v>
      </c>
      <c r="J10" s="5" t="n">
        <f aca="false">J7*Ipotesi!$F$43</f>
        <v>0</v>
      </c>
      <c r="K10" s="5" t="n">
        <f aca="false">K7*Ipotesi!$F$43</f>
        <v>0</v>
      </c>
      <c r="L10" s="5" t="n">
        <f aca="false">L7*Ipotesi!$F$43</f>
        <v>0</v>
      </c>
      <c r="M10" s="5" t="n">
        <f aca="false">M7*Ipotesi!$F$43</f>
        <v>0</v>
      </c>
      <c r="N10" s="5" t="n">
        <f aca="false">N7*Ipotesi!$F$43</f>
        <v>0</v>
      </c>
      <c r="O10" s="5" t="n">
        <f aca="false">O7*Ipotesi!$F$43</f>
        <v>0</v>
      </c>
      <c r="P10" s="5" t="n">
        <f aca="false">P7*Ipotesi!$F$43</f>
        <v>0</v>
      </c>
      <c r="Q10" s="5" t="n">
        <f aca="false">Q7*Ipotesi!$F$43</f>
        <v>0</v>
      </c>
      <c r="R10" s="5" t="n">
        <f aca="false">R7*Ipotesi!$F$43</f>
        <v>0</v>
      </c>
      <c r="S10" s="5" t="n">
        <f aca="false">S7*Ipotesi!$F$43</f>
        <v>0</v>
      </c>
      <c r="T10" s="5" t="n">
        <f aca="false">T7*Ipotesi!$F$43</f>
        <v>0</v>
      </c>
      <c r="U10" s="5" t="n">
        <f aca="false">U7*Ipotesi!$F$43</f>
        <v>0</v>
      </c>
      <c r="V10" s="5" t="n">
        <f aca="false">V7*Ipotesi!$F$43</f>
        <v>0</v>
      </c>
      <c r="W10" s="5" t="n">
        <f aca="false">W7*Ipotesi!$F$43</f>
        <v>0</v>
      </c>
      <c r="X10" s="5" t="n">
        <f aca="false">X7*Ipotesi!$F$43</f>
        <v>0</v>
      </c>
      <c r="Y10" s="5" t="n">
        <f aca="false">Y7*Ipotesi!$F$43</f>
        <v>0</v>
      </c>
      <c r="Z10" s="5" t="n">
        <f aca="false">Z7*Ipotesi!$F$43</f>
        <v>0</v>
      </c>
      <c r="AA10" s="5" t="n">
        <f aca="false">AA7*Ipotesi!$F$43</f>
        <v>0</v>
      </c>
      <c r="AB10" s="5" t="n">
        <f aca="false">AB7*Ipotesi!$F$43</f>
        <v>0</v>
      </c>
      <c r="AC10" s="5" t="n">
        <f aca="false">AC7*Ipotesi!$F$43</f>
        <v>0</v>
      </c>
      <c r="AD10" s="5" t="n">
        <f aca="false">AD7*Ipotesi!$F$43</f>
        <v>40</v>
      </c>
      <c r="AE10" s="5" t="n">
        <f aca="false">AE7*Ipotesi!$F$43</f>
        <v>79.6</v>
      </c>
      <c r="AF10" s="5" t="n">
        <f aca="false">AF7*Ipotesi!$F$43</f>
        <v>118.804</v>
      </c>
      <c r="AG10" s="5" t="n">
        <f aca="false">AG7*Ipotesi!$F$43</f>
        <v>157.61596</v>
      </c>
      <c r="AH10" s="5" t="n">
        <f aca="false">AH7*Ipotesi!$F$43</f>
        <v>196.0398004</v>
      </c>
      <c r="AI10" s="5" t="n">
        <f aca="false">AI7*Ipotesi!$F$43</f>
        <v>234.079402396</v>
      </c>
      <c r="AJ10" s="5" t="n">
        <f aca="false">AJ7*Ipotesi!$F$43</f>
        <v>271.73860837204</v>
      </c>
      <c r="AK10" s="5" t="n">
        <f aca="false">AK7*Ipotesi!$F$43</f>
        <v>309.02122228832</v>
      </c>
    </row>
    <row r="11" customFormat="false" ht="15" hidden="false" customHeight="false" outlineLevel="0" collapsed="false">
      <c r="A11" s="0" t="s">
        <v>96</v>
      </c>
      <c r="B11" s="5" t="n">
        <f aca="false">B5+B9+B10</f>
        <v>0</v>
      </c>
      <c r="C11" s="5" t="n">
        <f aca="false">C5+C9+C10</f>
        <v>0</v>
      </c>
      <c r="D11" s="5" t="n">
        <f aca="false">D5+D9+D10</f>
        <v>0</v>
      </c>
      <c r="E11" s="5" t="n">
        <f aca="false">E5+E9+E10</f>
        <v>0</v>
      </c>
      <c r="F11" s="5" t="n">
        <f aca="false">F5+F9+F10</f>
        <v>0</v>
      </c>
      <c r="G11" s="5" t="n">
        <f aca="false">G5+G9+G10</f>
        <v>0</v>
      </c>
      <c r="H11" s="5" t="n">
        <f aca="false">H5+H9+H10</f>
        <v>5</v>
      </c>
      <c r="I11" s="5" t="n">
        <f aca="false">I5+I9+I10</f>
        <v>5</v>
      </c>
      <c r="J11" s="5" t="n">
        <f aca="false">J5+J9+J10</f>
        <v>66.25</v>
      </c>
      <c r="K11" s="5" t="n">
        <f aca="false">K5+K9+K10</f>
        <v>127.5</v>
      </c>
      <c r="L11" s="5" t="n">
        <f aca="false">L5+L9+L10</f>
        <v>188.75</v>
      </c>
      <c r="M11" s="5" t="n">
        <f aca="false">M5+M9+M10</f>
        <v>250</v>
      </c>
      <c r="N11" s="5" t="n">
        <f aca="false">N5+N9+N10</f>
        <v>250</v>
      </c>
      <c r="O11" s="5" t="n">
        <f aca="false">O5+O9+O10</f>
        <v>274</v>
      </c>
      <c r="P11" s="5" t="n">
        <f aca="false">P5+P9+P10</f>
        <v>298</v>
      </c>
      <c r="Q11" s="5" t="n">
        <f aca="false">Q5+Q9+Q10</f>
        <v>322</v>
      </c>
      <c r="R11" s="5" t="n">
        <f aca="false">R5+R9+R10</f>
        <v>346</v>
      </c>
      <c r="S11" s="5" t="n">
        <f aca="false">S5+S9+S10</f>
        <v>370</v>
      </c>
      <c r="T11" s="5" t="n">
        <f aca="false">T5+T9+T10</f>
        <v>394</v>
      </c>
      <c r="U11" s="5" t="n">
        <f aca="false">U5+U9+U10</f>
        <v>418</v>
      </c>
      <c r="V11" s="5" t="n">
        <f aca="false">V5+V9+V10</f>
        <v>442</v>
      </c>
      <c r="W11" s="5" t="n">
        <f aca="false">W5+W9+W10</f>
        <v>466</v>
      </c>
      <c r="X11" s="5" t="n">
        <f aca="false">X5+X9+X10</f>
        <v>490</v>
      </c>
      <c r="Y11" s="5" t="n">
        <f aca="false">Y5+Y9+Y10</f>
        <v>514</v>
      </c>
      <c r="Z11" s="5" t="n">
        <f aca="false">Z5+Z9+Z10</f>
        <v>538</v>
      </c>
      <c r="AA11" s="5" t="n">
        <f aca="false">AA5+AA9+AA10</f>
        <v>562</v>
      </c>
      <c r="AB11" s="5" t="n">
        <f aca="false">AB5+AB9+AB10</f>
        <v>586</v>
      </c>
      <c r="AC11" s="5" t="n">
        <f aca="false">AC5+AC9+AC10</f>
        <v>610</v>
      </c>
      <c r="AD11" s="5" t="n">
        <f aca="false">AD5+AD9+AD10</f>
        <v>650</v>
      </c>
      <c r="AE11" s="5" t="n">
        <f aca="false">AE5+AE9+AE10</f>
        <v>689.6</v>
      </c>
      <c r="AF11" s="5" t="n">
        <f aca="false">AF5+AF9+AF10</f>
        <v>728.804</v>
      </c>
      <c r="AG11" s="5" t="n">
        <f aca="false">AG5+AG9+AG10</f>
        <v>767.61596</v>
      </c>
      <c r="AH11" s="5" t="n">
        <f aca="false">AH5+AH9+AH10</f>
        <v>806.0398004</v>
      </c>
      <c r="AI11" s="5" t="n">
        <f aca="false">AI5+AI9+AI10</f>
        <v>844.079402396</v>
      </c>
      <c r="AJ11" s="5" t="n">
        <f aca="false">AJ5+AJ9+AJ10</f>
        <v>881.73860837204</v>
      </c>
      <c r="AK11" s="5" t="n">
        <f aca="false">AK5+AK9+AK10</f>
        <v>919.02122228832</v>
      </c>
    </row>
    <row r="12" customFormat="false" ht="15" hidden="false" customHeight="false" outlineLevel="0" collapsed="false">
      <c r="A12" s="0" t="s">
        <v>97</v>
      </c>
      <c r="B12" s="5" t="n">
        <f aca="false">IF(Ipotesi!$F$43&lt;50,Ipotesi!$C$7,IF(Ipotesi!$F$43&lt;150,Ipotesi!$C$8,Ipotesi!$C$9))</f>
        <v>15</v>
      </c>
      <c r="C12" s="5" t="n">
        <f aca="false">IF(Ipotesi!$F$43&lt;50,Ipotesi!$C$7,IF(Ipotesi!$F$43&lt;150,Ipotesi!$C$8,Ipotesi!$C$9))</f>
        <v>15</v>
      </c>
      <c r="D12" s="5" t="n">
        <f aca="false">IF(Ipotesi!$F$43&lt;50,Ipotesi!$C$7,IF(Ipotesi!$F$43&lt;150,Ipotesi!$C$8,Ipotesi!$C$9))</f>
        <v>15</v>
      </c>
      <c r="E12" s="5" t="n">
        <f aca="false">IF(Ipotesi!$F$43&lt;50,Ipotesi!$C$7,IF(Ipotesi!$F$43&lt;150,Ipotesi!$C$8,Ipotesi!$C$9))</f>
        <v>15</v>
      </c>
      <c r="F12" s="5" t="n">
        <f aca="false">IF(Ipotesi!$F$43&lt;50,Ipotesi!$C$7,IF(Ipotesi!$F$43&lt;150,Ipotesi!$C$8,Ipotesi!$C$9))</f>
        <v>15</v>
      </c>
      <c r="G12" s="5" t="n">
        <f aca="false">IF(Ipotesi!$F$43&lt;50,Ipotesi!$C$7,IF(Ipotesi!$F$43&lt;150,Ipotesi!$C$8,Ipotesi!$C$9))</f>
        <v>15</v>
      </c>
      <c r="H12" s="5" t="n">
        <f aca="false">IF(Ipotesi!$F$43&lt;50,Ipotesi!$C$7,IF(Ipotesi!$F$43&lt;150,Ipotesi!$C$8,Ipotesi!$C$9))</f>
        <v>15</v>
      </c>
      <c r="I12" s="5" t="n">
        <f aca="false">IF(Ipotesi!$F$43&lt;50,Ipotesi!$C$7,IF(Ipotesi!$F$43&lt;150,Ipotesi!$C$8,Ipotesi!$C$9))</f>
        <v>15</v>
      </c>
      <c r="J12" s="5" t="n">
        <f aca="false">IF(Ipotesi!$F$43&lt;50,Ipotesi!$C$7,IF(Ipotesi!$F$43&lt;150,Ipotesi!$C$8,Ipotesi!$C$9))</f>
        <v>15</v>
      </c>
      <c r="K12" s="5" t="n">
        <f aca="false">IF(Ipotesi!$F$43&lt;50,Ipotesi!$C$7,IF(Ipotesi!$F$43&lt;150,Ipotesi!$C$8,Ipotesi!$C$9))</f>
        <v>15</v>
      </c>
      <c r="L12" s="5" t="n">
        <f aca="false">IF(Ipotesi!$F$43&lt;50,Ipotesi!$C$7,IF(Ipotesi!$F$43&lt;150,Ipotesi!$C$8,Ipotesi!$C$9))</f>
        <v>15</v>
      </c>
      <c r="M12" s="5" t="n">
        <f aca="false">IF(Ipotesi!$F$43&lt;50,Ipotesi!$C$7,IF(Ipotesi!$F$43&lt;150,Ipotesi!$C$8,Ipotesi!$C$9))</f>
        <v>15</v>
      </c>
      <c r="N12" s="5" t="n">
        <f aca="false">IF(Ipotesi!$F$43&lt;50,Ipotesi!$C$7,IF(Ipotesi!$F$43&lt;150,Ipotesi!$C$8,Ipotesi!$C$9))</f>
        <v>15</v>
      </c>
      <c r="O12" s="5" t="n">
        <f aca="false">IF(Ipotesi!$F$43&lt;50,Ipotesi!$C$7,IF(Ipotesi!$F$43&lt;150,Ipotesi!$C$8,Ipotesi!$C$9))</f>
        <v>15</v>
      </c>
      <c r="P12" s="5" t="n">
        <f aca="false">IF(Ipotesi!$F$43&lt;50,Ipotesi!$C$7,IF(Ipotesi!$F$43&lt;150,Ipotesi!$C$8,Ipotesi!$C$9))</f>
        <v>15</v>
      </c>
      <c r="Q12" s="5" t="n">
        <f aca="false">IF(Ipotesi!$F$43&lt;50,Ipotesi!$C$7,IF(Ipotesi!$F$43&lt;150,Ipotesi!$C$8,Ipotesi!$C$9))</f>
        <v>15</v>
      </c>
      <c r="R12" s="5" t="n">
        <f aca="false">IF(Ipotesi!$F$43&lt;50,Ipotesi!$C$7,IF(Ipotesi!$F$43&lt;150,Ipotesi!$C$8,Ipotesi!$C$9))</f>
        <v>15</v>
      </c>
      <c r="S12" s="5" t="n">
        <f aca="false">IF(Ipotesi!$F$43&lt;50,Ipotesi!$C$7,IF(Ipotesi!$F$43&lt;150,Ipotesi!$C$8,Ipotesi!$C$9))</f>
        <v>15</v>
      </c>
      <c r="T12" s="5" t="n">
        <f aca="false">IF(Ipotesi!$F$43&lt;50,Ipotesi!$C$7,IF(Ipotesi!$F$43&lt;150,Ipotesi!$C$8,Ipotesi!$C$9))</f>
        <v>15</v>
      </c>
      <c r="U12" s="5" t="n">
        <f aca="false">IF(Ipotesi!$F$43&lt;50,Ipotesi!$C$7,IF(Ipotesi!$F$43&lt;150,Ipotesi!$C$8,Ipotesi!$C$9))</f>
        <v>15</v>
      </c>
      <c r="V12" s="5" t="n">
        <f aca="false">IF(Ipotesi!$F$43&lt;50,Ipotesi!$C$7,IF(Ipotesi!$F$43&lt;150,Ipotesi!$C$8,Ipotesi!$C$9))</f>
        <v>15</v>
      </c>
      <c r="W12" s="5" t="n">
        <f aca="false">IF(Ipotesi!$F$43&lt;50,Ipotesi!$C$7,IF(Ipotesi!$F$43&lt;150,Ipotesi!$C$8,Ipotesi!$C$9))</f>
        <v>15</v>
      </c>
      <c r="X12" s="5" t="n">
        <f aca="false">IF(Ipotesi!$F$43&lt;50,Ipotesi!$C$7,IF(Ipotesi!$F$43&lt;150,Ipotesi!$C$8,Ipotesi!$C$9))</f>
        <v>15</v>
      </c>
      <c r="Y12" s="5" t="n">
        <f aca="false">IF(Ipotesi!$F$43&lt;50,Ipotesi!$C$7,IF(Ipotesi!$F$43&lt;150,Ipotesi!$C$8,Ipotesi!$C$9))</f>
        <v>15</v>
      </c>
      <c r="Z12" s="5" t="n">
        <f aca="false">IF(Ipotesi!$F$43&lt;50,Ipotesi!$C$7,IF(Ipotesi!$F$43&lt;150,Ipotesi!$C$8,Ipotesi!$C$9))</f>
        <v>15</v>
      </c>
      <c r="AA12" s="5" t="n">
        <f aca="false">IF(Ipotesi!$F$43&lt;50,Ipotesi!$C$7,IF(Ipotesi!$F$43&lt;150,Ipotesi!$C$8,Ipotesi!$C$9))</f>
        <v>15</v>
      </c>
      <c r="AB12" s="5" t="n">
        <f aca="false">IF(Ipotesi!$F$43&lt;50,Ipotesi!$C$7,IF(Ipotesi!$F$43&lt;150,Ipotesi!$C$8,Ipotesi!$C$9))</f>
        <v>15</v>
      </c>
      <c r="AC12" s="5" t="n">
        <f aca="false">IF(Ipotesi!$F$43&lt;50,Ipotesi!$C$7,IF(Ipotesi!$F$43&lt;150,Ipotesi!$C$8,Ipotesi!$C$9))</f>
        <v>15</v>
      </c>
      <c r="AD12" s="5" t="n">
        <f aca="false">IF(Ipotesi!$F$43&lt;50,Ipotesi!$C$7,IF(Ipotesi!$F$43&lt;150,Ipotesi!$C$8,Ipotesi!$C$9))</f>
        <v>15</v>
      </c>
      <c r="AE12" s="5" t="n">
        <f aca="false">IF(Ipotesi!$F$43&lt;50,Ipotesi!$C$7,IF(Ipotesi!$F$43&lt;150,Ipotesi!$C$8,Ipotesi!$C$9))</f>
        <v>15</v>
      </c>
      <c r="AF12" s="5" t="n">
        <f aca="false">IF(Ipotesi!$F$43&lt;50,Ipotesi!$C$7,IF(Ipotesi!$F$43&lt;150,Ipotesi!$C$8,Ipotesi!$C$9))</f>
        <v>15</v>
      </c>
      <c r="AG12" s="5" t="n">
        <f aca="false">IF(Ipotesi!$F$43&lt;50,Ipotesi!$C$7,IF(Ipotesi!$F$43&lt;150,Ipotesi!$C$8,Ipotesi!$C$9))</f>
        <v>15</v>
      </c>
      <c r="AH12" s="5" t="n">
        <f aca="false">IF(Ipotesi!$F$43&lt;50,Ipotesi!$C$7,IF(Ipotesi!$F$43&lt;150,Ipotesi!$C$8,Ipotesi!$C$9))</f>
        <v>15</v>
      </c>
      <c r="AI12" s="5" t="n">
        <f aca="false">IF(Ipotesi!$F$43&lt;50,Ipotesi!$C$7,IF(Ipotesi!$F$43&lt;150,Ipotesi!$C$8,Ipotesi!$C$9))</f>
        <v>15</v>
      </c>
      <c r="AJ12" s="5" t="n">
        <f aca="false">IF(Ipotesi!$F$43&lt;50,Ipotesi!$C$7,IF(Ipotesi!$F$43&lt;150,Ipotesi!$C$8,Ipotesi!$C$9))</f>
        <v>15</v>
      </c>
      <c r="AK12" s="5" t="n">
        <f aca="false">IF(Ipotesi!$F$43&lt;50,Ipotesi!$C$7,IF(Ipotesi!$F$43&lt;150,Ipotesi!$C$8,Ipotesi!$C$9))</f>
        <v>15</v>
      </c>
    </row>
    <row r="13" customFormat="false" ht="15" hidden="false" customHeight="false" outlineLevel="0" collapsed="false">
      <c r="A13" s="0" t="s">
        <v>98</v>
      </c>
      <c r="B13" s="5" t="n">
        <f aca="false">(B5+B9)*Ipotesi!$C$11+B10*B12</f>
        <v>0</v>
      </c>
      <c r="C13" s="5" t="n">
        <f aca="false">(C5+C9)*Ipotesi!$C$11+C10*C12</f>
        <v>0</v>
      </c>
      <c r="D13" s="5" t="n">
        <f aca="false">(D5+D9)*Ipotesi!$C$11+D10*D12</f>
        <v>0</v>
      </c>
      <c r="E13" s="5" t="n">
        <f aca="false">(E5+E9)*Ipotesi!$C$11+E10*E12</f>
        <v>0</v>
      </c>
      <c r="F13" s="5" t="n">
        <f aca="false">(F5+F9)*Ipotesi!$C$11+F10*F12</f>
        <v>0</v>
      </c>
      <c r="G13" s="5" t="n">
        <f aca="false">(G5+G9)*Ipotesi!$C$11+G10*G12</f>
        <v>0</v>
      </c>
      <c r="H13" s="5" t="n">
        <f aca="false">(H5+H9)*Ipotesi!$C$11+H10*H12</f>
        <v>34.6</v>
      </c>
      <c r="I13" s="5" t="n">
        <f aca="false">(I5+I9)*Ipotesi!$C$11+I10*I12</f>
        <v>34.6</v>
      </c>
      <c r="J13" s="5" t="n">
        <f aca="false">(J5+J9)*Ipotesi!$C$11+J10*J12</f>
        <v>458.45</v>
      </c>
      <c r="K13" s="5" t="n">
        <f aca="false">(K5+K9)*Ipotesi!$C$11+K10*K12</f>
        <v>882.3</v>
      </c>
      <c r="L13" s="5" t="n">
        <f aca="false">(L5+L9)*Ipotesi!$C$11+L10*L12</f>
        <v>1306.15</v>
      </c>
      <c r="M13" s="5" t="n">
        <f aca="false">(M5+M9)*Ipotesi!$C$11+M10*M12</f>
        <v>1730</v>
      </c>
      <c r="N13" s="5" t="n">
        <f aca="false">(N5+N9)*Ipotesi!$C$11+N10*N12</f>
        <v>1730</v>
      </c>
      <c r="O13" s="5" t="n">
        <f aca="false">(O5+O9)*Ipotesi!$C$11+O10*O12</f>
        <v>1896.08</v>
      </c>
      <c r="P13" s="5" t="n">
        <f aca="false">(P5+P9)*Ipotesi!$C$11+P10*P12</f>
        <v>2062.16</v>
      </c>
      <c r="Q13" s="5" t="n">
        <f aca="false">(Q5+Q9)*Ipotesi!$C$11+Q10*Q12</f>
        <v>2228.24</v>
      </c>
      <c r="R13" s="5" t="n">
        <f aca="false">(R5+R9)*Ipotesi!$C$11+R10*R12</f>
        <v>2394.32</v>
      </c>
      <c r="S13" s="5" t="n">
        <f aca="false">(S5+S9)*Ipotesi!$C$11+S10*S12</f>
        <v>2560.4</v>
      </c>
      <c r="T13" s="5" t="n">
        <f aca="false">(T5+T9)*Ipotesi!$C$11+T10*T12</f>
        <v>2726.48</v>
      </c>
      <c r="U13" s="5" t="n">
        <f aca="false">(U5+U9)*Ipotesi!$C$11+U10*U12</f>
        <v>2892.56</v>
      </c>
      <c r="V13" s="5" t="n">
        <f aca="false">(V5+V9)*Ipotesi!$C$11+V10*V12</f>
        <v>3058.64</v>
      </c>
      <c r="W13" s="5" t="n">
        <f aca="false">(W5+W9)*Ipotesi!$C$11+W10*W12</f>
        <v>3224.72</v>
      </c>
      <c r="X13" s="5" t="n">
        <f aca="false">(X5+X9)*Ipotesi!$C$11+X10*X12</f>
        <v>3390.8</v>
      </c>
      <c r="Y13" s="5" t="n">
        <f aca="false">(Y5+Y9)*Ipotesi!$C$11+Y10*Y12</f>
        <v>3556.88</v>
      </c>
      <c r="Z13" s="5" t="n">
        <f aca="false">(Z5+Z9)*Ipotesi!$C$11+Z10*Z12</f>
        <v>3722.96</v>
      </c>
      <c r="AA13" s="5" t="n">
        <f aca="false">(AA5+AA9)*Ipotesi!$C$11+AA10*AA12</f>
        <v>3889.04</v>
      </c>
      <c r="AB13" s="5" t="n">
        <f aca="false">(AB5+AB9)*Ipotesi!$C$11+AB10*AB12</f>
        <v>4055.12</v>
      </c>
      <c r="AC13" s="5" t="n">
        <f aca="false">(AC5+AC9)*Ipotesi!$C$11+AC10*AC12</f>
        <v>4221.2</v>
      </c>
      <c r="AD13" s="5" t="n">
        <f aca="false">(AD5+AD9)*Ipotesi!$C$11+AD10*AD12</f>
        <v>4821.2</v>
      </c>
      <c r="AE13" s="5" t="n">
        <f aca="false">(AE5+AE9)*Ipotesi!$C$11+AE10*AE12</f>
        <v>5415.2</v>
      </c>
      <c r="AF13" s="5" t="n">
        <f aca="false">(AF5+AF9)*Ipotesi!$C$11+AF10*AF12</f>
        <v>6003.26</v>
      </c>
      <c r="AG13" s="5" t="n">
        <f aca="false">(AG5+AG9)*Ipotesi!$C$11+AG10*AG12</f>
        <v>6585.4394</v>
      </c>
      <c r="AH13" s="5" t="n">
        <f aca="false">(AH5+AH9)*Ipotesi!$C$11+AH10*AH12</f>
        <v>7161.797006</v>
      </c>
      <c r="AI13" s="5" t="n">
        <f aca="false">(AI5+AI9)*Ipotesi!$C$11+AI10*AI12</f>
        <v>7732.39103594</v>
      </c>
      <c r="AJ13" s="5" t="n">
        <f aca="false">(AJ5+AJ9)*Ipotesi!$C$11+AJ10*AJ12</f>
        <v>8297.2791255806</v>
      </c>
      <c r="AK13" s="5" t="n">
        <f aca="false">(AK5+AK9)*Ipotesi!$C$11+AK10*AK12</f>
        <v>8856.5183343248</v>
      </c>
    </row>
    <row r="14" customFormat="false" ht="15" hidden="false" customHeight="false" outlineLevel="0" collapsed="false">
      <c r="A14" s="0" t="s">
        <v>99</v>
      </c>
      <c r="B14" s="5" t="n">
        <f aca="false">(B5+B9)*Ipotesi!$C$10*Ipotesi!$C$16</f>
        <v>0</v>
      </c>
      <c r="C14" s="5" t="n">
        <f aca="false">(C5+C9)*Ipotesi!$C$10*Ipotesi!$C$16</f>
        <v>0</v>
      </c>
      <c r="D14" s="5" t="n">
        <f aca="false">(D5+D9)*Ipotesi!$C$10*Ipotesi!$C$16</f>
        <v>0</v>
      </c>
      <c r="E14" s="5" t="n">
        <f aca="false">(E5+E9)*Ipotesi!$C$10*Ipotesi!$C$16</f>
        <v>0</v>
      </c>
      <c r="F14" s="5" t="n">
        <f aca="false">(F5+F9)*Ipotesi!$C$10*Ipotesi!$C$16</f>
        <v>0</v>
      </c>
      <c r="G14" s="5" t="n">
        <f aca="false">(G5+G9)*Ipotesi!$C$10*Ipotesi!$C$16</f>
        <v>0</v>
      </c>
      <c r="H14" s="5" t="n">
        <f aca="false">(H5+H9)*Ipotesi!$C$10*Ipotesi!$C$16</f>
        <v>19.2</v>
      </c>
      <c r="I14" s="5" t="n">
        <f aca="false">(I5+I9)*Ipotesi!$C$10*Ipotesi!$C$16</f>
        <v>19.2</v>
      </c>
      <c r="J14" s="5" t="n">
        <f aca="false">(J5+J9)*Ipotesi!$C$10*Ipotesi!$C$16</f>
        <v>254.4</v>
      </c>
      <c r="K14" s="5" t="n">
        <f aca="false">(K5+K9)*Ipotesi!$C$10*Ipotesi!$C$16</f>
        <v>489.6</v>
      </c>
      <c r="L14" s="5" t="n">
        <f aca="false">(L5+L9)*Ipotesi!$C$10*Ipotesi!$C$16</f>
        <v>724.8</v>
      </c>
      <c r="M14" s="5" t="n">
        <f aca="false">(M5+M9)*Ipotesi!$C$10*Ipotesi!$C$16</f>
        <v>960</v>
      </c>
      <c r="N14" s="5" t="n">
        <f aca="false">(N5+N9)*Ipotesi!$C$10*Ipotesi!$C$16</f>
        <v>960</v>
      </c>
      <c r="O14" s="5" t="n">
        <f aca="false">(O5+O9)*Ipotesi!$C$10*Ipotesi!$C$16</f>
        <v>1052.16</v>
      </c>
      <c r="P14" s="5" t="n">
        <f aca="false">(P5+P9)*Ipotesi!$C$10*Ipotesi!$C$16</f>
        <v>1144.32</v>
      </c>
      <c r="Q14" s="5" t="n">
        <f aca="false">(Q5+Q9)*Ipotesi!$C$10*Ipotesi!$C$16</f>
        <v>1236.48</v>
      </c>
      <c r="R14" s="5" t="n">
        <f aca="false">(R5+R9)*Ipotesi!$C$10*Ipotesi!$C$16</f>
        <v>1328.64</v>
      </c>
      <c r="S14" s="5" t="n">
        <f aca="false">(S5+S9)*Ipotesi!$C$10*Ipotesi!$C$16</f>
        <v>1420.8</v>
      </c>
      <c r="T14" s="5" t="n">
        <f aca="false">(T5+T9)*Ipotesi!$C$10*Ipotesi!$C$16</f>
        <v>1512.96</v>
      </c>
      <c r="U14" s="5" t="n">
        <f aca="false">(U5+U9)*Ipotesi!$C$10*Ipotesi!$C$16</f>
        <v>1605.12</v>
      </c>
      <c r="V14" s="5" t="n">
        <f aca="false">(V5+V9)*Ipotesi!$C$10*Ipotesi!$C$16</f>
        <v>1697.28</v>
      </c>
      <c r="W14" s="5" t="n">
        <f aca="false">(W5+W9)*Ipotesi!$C$10*Ipotesi!$C$16</f>
        <v>1789.44</v>
      </c>
      <c r="X14" s="5" t="n">
        <f aca="false">(X5+X9)*Ipotesi!$C$10*Ipotesi!$C$16</f>
        <v>1881.6</v>
      </c>
      <c r="Y14" s="5" t="n">
        <f aca="false">(Y5+Y9)*Ipotesi!$C$10*Ipotesi!$C$16</f>
        <v>1973.76</v>
      </c>
      <c r="Z14" s="5" t="n">
        <f aca="false">(Z5+Z9)*Ipotesi!$C$10*Ipotesi!$C$16</f>
        <v>2065.92</v>
      </c>
      <c r="AA14" s="5" t="n">
        <f aca="false">(AA5+AA9)*Ipotesi!$C$10*Ipotesi!$C$16</f>
        <v>2158.08</v>
      </c>
      <c r="AB14" s="5" t="n">
        <f aca="false">(AB5+AB9)*Ipotesi!$C$10*Ipotesi!$C$16</f>
        <v>2250.24</v>
      </c>
      <c r="AC14" s="5" t="n">
        <f aca="false">(AC5+AC9)*Ipotesi!$C$10*Ipotesi!$C$16</f>
        <v>2342.4</v>
      </c>
      <c r="AD14" s="5" t="n">
        <f aca="false">(AD5+AD9)*Ipotesi!$C$10*Ipotesi!$C$16</f>
        <v>2342.4</v>
      </c>
      <c r="AE14" s="5" t="n">
        <f aca="false">(AE5+AE9)*Ipotesi!$C$10*Ipotesi!$C$16</f>
        <v>2342.4</v>
      </c>
      <c r="AF14" s="5" t="n">
        <f aca="false">(AF5+AF9)*Ipotesi!$C$10*Ipotesi!$C$16</f>
        <v>2342.4</v>
      </c>
      <c r="AG14" s="5" t="n">
        <f aca="false">(AG5+AG9)*Ipotesi!$C$10*Ipotesi!$C$16</f>
        <v>2342.4</v>
      </c>
      <c r="AH14" s="5" t="n">
        <f aca="false">(AH5+AH9)*Ipotesi!$C$10*Ipotesi!$C$16</f>
        <v>2342.4</v>
      </c>
      <c r="AI14" s="5" t="n">
        <f aca="false">(AI5+AI9)*Ipotesi!$C$10*Ipotesi!$C$16</f>
        <v>2342.4</v>
      </c>
      <c r="AJ14" s="5" t="n">
        <f aca="false">(AJ5+AJ9)*Ipotesi!$C$10*Ipotesi!$C$16</f>
        <v>2342.4</v>
      </c>
      <c r="AK14" s="5" t="n">
        <f aca="false">(AK5+AK9)*Ipotesi!$C$10*Ipotesi!$C$16</f>
        <v>2342.4</v>
      </c>
    </row>
    <row r="15" customFormat="false" ht="15" hidden="false" customHeight="false" outlineLevel="0" collapsed="false">
      <c r="A15" s="0" t="s">
        <v>100</v>
      </c>
      <c r="B15" s="5" t="n">
        <f aca="false">B8*Ipotesi!$C$17</f>
        <v>0</v>
      </c>
      <c r="C15" s="5" t="n">
        <f aca="false">C8*Ipotesi!$C$17</f>
        <v>0</v>
      </c>
      <c r="D15" s="5" t="n">
        <f aca="false">D8*Ipotesi!$C$17</f>
        <v>0</v>
      </c>
      <c r="E15" s="5" t="n">
        <f aca="false">E8*Ipotesi!$C$17</f>
        <v>0</v>
      </c>
      <c r="F15" s="5" t="n">
        <f aca="false">F8*Ipotesi!$C$17</f>
        <v>0</v>
      </c>
      <c r="G15" s="5" t="n">
        <f aca="false">G8*Ipotesi!$C$17</f>
        <v>0</v>
      </c>
      <c r="H15" s="5" t="n">
        <f aca="false">H8*Ipotesi!$C$17</f>
        <v>0</v>
      </c>
      <c r="I15" s="5" t="n">
        <f aca="false">I8*Ipotesi!$C$17</f>
        <v>0</v>
      </c>
      <c r="J15" s="5" t="n">
        <f aca="false">J8*Ipotesi!$C$17</f>
        <v>0</v>
      </c>
      <c r="K15" s="5" t="n">
        <f aca="false">K8*Ipotesi!$C$17</f>
        <v>174</v>
      </c>
      <c r="L15" s="5" t="n">
        <f aca="false">L8*Ipotesi!$C$17</f>
        <v>342.78</v>
      </c>
      <c r="M15" s="5" t="n">
        <f aca="false">M8*Ipotesi!$C$17</f>
        <v>506.4966</v>
      </c>
      <c r="N15" s="5" t="n">
        <f aca="false">N8*Ipotesi!$C$17</f>
        <v>665.301702</v>
      </c>
      <c r="O15" s="5" t="n">
        <f aca="false">O8*Ipotesi!$C$17</f>
        <v>819.34265094</v>
      </c>
      <c r="P15" s="5" t="n">
        <f aca="false">P8*Ipotesi!$C$17</f>
        <v>968.7623714118</v>
      </c>
      <c r="Q15" s="5" t="n">
        <f aca="false">Q8*Ipotesi!$C$17</f>
        <v>1113.69950026945</v>
      </c>
      <c r="R15" s="5" t="n">
        <f aca="false">R8*Ipotesi!$C$17</f>
        <v>1254.28851526136</v>
      </c>
      <c r="S15" s="5" t="n">
        <f aca="false">S8*Ipotesi!$C$17</f>
        <v>1390.65985980352</v>
      </c>
      <c r="T15" s="5" t="n">
        <f aca="false">T8*Ipotesi!$C$17</f>
        <v>1522.94006400942</v>
      </c>
      <c r="U15" s="5" t="n">
        <f aca="false">U8*Ipotesi!$C$17</f>
        <v>1651.25186208913</v>
      </c>
      <c r="V15" s="5" t="n">
        <f aca="false">V8*Ipotesi!$C$17</f>
        <v>1775.71430622646</v>
      </c>
      <c r="W15" s="5" t="n">
        <f aca="false">W8*Ipotesi!$C$17</f>
        <v>1896.44287703967</v>
      </c>
      <c r="X15" s="5" t="n">
        <f aca="false">X8*Ipotesi!$C$17</f>
        <v>2013.54959072848</v>
      </c>
      <c r="Y15" s="5" t="n">
        <f aca="false">Y8*Ipotesi!$C$17</f>
        <v>2127.14310300662</v>
      </c>
      <c r="Z15" s="5" t="n">
        <f aca="false">Z8*Ipotesi!$C$17</f>
        <v>2237.32880991642</v>
      </c>
      <c r="AA15" s="5" t="n">
        <f aca="false">AA8*Ipotesi!$C$17</f>
        <v>2344.20894561893</v>
      </c>
      <c r="AB15" s="5" t="n">
        <f aca="false">AB8*Ipotesi!$C$17</f>
        <v>2447.88267725036</v>
      </c>
      <c r="AC15" s="5" t="n">
        <f aca="false">AC8*Ipotesi!$C$17</f>
        <v>2548.44619693285</v>
      </c>
      <c r="AD15" s="5" t="n">
        <f aca="false">AD8*Ipotesi!$C$17</f>
        <v>2645.99281102486</v>
      </c>
      <c r="AE15" s="5" t="n">
        <f aca="false">AE8*Ipotesi!$C$17</f>
        <v>2740.61302669412</v>
      </c>
      <c r="AF15" s="5" t="n">
        <f aca="false">AF8*Ipotesi!$C$17</f>
        <v>2832.3946358933</v>
      </c>
      <c r="AG15" s="5" t="n">
        <f aca="false">AG8*Ipotesi!$C$17</f>
        <v>2921.4227968165</v>
      </c>
      <c r="AH15" s="5" t="n">
        <f aca="false">AH8*Ipotesi!$C$17</f>
        <v>3007.780112912</v>
      </c>
      <c r="AI15" s="5" t="n">
        <f aca="false">AI8*Ipotesi!$C$17</f>
        <v>3091.54670952464</v>
      </c>
      <c r="AJ15" s="5" t="n">
        <f aca="false">AJ8*Ipotesi!$C$17</f>
        <v>3172.8003082389</v>
      </c>
      <c r="AK15" s="5" t="n">
        <f aca="false">AK8*Ipotesi!$C$17</f>
        <v>3251.61629899173</v>
      </c>
    </row>
    <row r="16" customFormat="false" ht="15" hidden="false" customHeight="false" outlineLevel="0" collapsed="false">
      <c r="A16" s="1" t="s">
        <v>101</v>
      </c>
      <c r="B16" s="5" t="n">
        <f aca="false">B13+B14+B15</f>
        <v>0</v>
      </c>
      <c r="C16" s="5" t="n">
        <f aca="false">C13+C14+C15</f>
        <v>0</v>
      </c>
      <c r="D16" s="5" t="n">
        <f aca="false">D13+D14+D15</f>
        <v>0</v>
      </c>
      <c r="E16" s="5" t="n">
        <f aca="false">E13+E14+E15</f>
        <v>0</v>
      </c>
      <c r="F16" s="5" t="n">
        <f aca="false">F13+F14+F15</f>
        <v>0</v>
      </c>
      <c r="G16" s="5" t="n">
        <f aca="false">G13+G14+G15</f>
        <v>0</v>
      </c>
      <c r="H16" s="5" t="n">
        <f aca="false">H13+H14+H15</f>
        <v>53.8</v>
      </c>
      <c r="I16" s="5" t="n">
        <f aca="false">I13+I14+I15</f>
        <v>53.8</v>
      </c>
      <c r="J16" s="5" t="n">
        <f aca="false">J13+J14+J15</f>
        <v>712.85</v>
      </c>
      <c r="K16" s="5" t="n">
        <f aca="false">K13+K14+K15</f>
        <v>1545.9</v>
      </c>
      <c r="L16" s="5" t="n">
        <f aca="false">L13+L14+L15</f>
        <v>2373.73</v>
      </c>
      <c r="M16" s="5" t="n">
        <f aca="false">M13+M14+M15</f>
        <v>3196.4966</v>
      </c>
      <c r="N16" s="5" t="n">
        <f aca="false">N13+N14+N15</f>
        <v>3355.301702</v>
      </c>
      <c r="O16" s="5" t="n">
        <f aca="false">O13+O14+O15</f>
        <v>3767.58265094</v>
      </c>
      <c r="P16" s="5" t="n">
        <f aca="false">P13+P14+P15</f>
        <v>4175.2423714118</v>
      </c>
      <c r="Q16" s="5" t="n">
        <f aca="false">Q13+Q14+Q15</f>
        <v>4578.41950026945</v>
      </c>
      <c r="R16" s="5" t="n">
        <f aca="false">R13+R14+R15</f>
        <v>4977.24851526136</v>
      </c>
      <c r="S16" s="5" t="n">
        <f aca="false">S13+S14+S15</f>
        <v>5371.85985980352</v>
      </c>
      <c r="T16" s="5" t="n">
        <f aca="false">T13+T14+T15</f>
        <v>5762.38006400942</v>
      </c>
      <c r="U16" s="5" t="n">
        <f aca="false">U13+U14+U15</f>
        <v>6148.93186208913</v>
      </c>
      <c r="V16" s="5" t="n">
        <f aca="false">V13+V14+V15</f>
        <v>6531.63430622646</v>
      </c>
      <c r="W16" s="5" t="n">
        <f aca="false">W13+W14+W15</f>
        <v>6910.60287703967</v>
      </c>
      <c r="X16" s="5" t="n">
        <f aca="false">X13+X14+X15</f>
        <v>7285.94959072847</v>
      </c>
      <c r="Y16" s="5" t="n">
        <f aca="false">Y13+Y14+Y15</f>
        <v>7657.78310300662</v>
      </c>
      <c r="Z16" s="5" t="n">
        <f aca="false">Z13+Z14+Z15</f>
        <v>8026.20880991642</v>
      </c>
      <c r="AA16" s="5" t="n">
        <f aca="false">AA13+AA14+AA15</f>
        <v>8391.32894561893</v>
      </c>
      <c r="AB16" s="5" t="n">
        <f aca="false">AB13+AB14+AB15</f>
        <v>8753.24267725036</v>
      </c>
      <c r="AC16" s="5" t="n">
        <f aca="false">AC13+AC14+AC15</f>
        <v>9112.04619693285</v>
      </c>
      <c r="AD16" s="5" t="n">
        <f aca="false">AD13+AD14+AD15</f>
        <v>9809.59281102486</v>
      </c>
      <c r="AE16" s="5" t="n">
        <f aca="false">AE13+AE14+AE15</f>
        <v>10498.2130266941</v>
      </c>
      <c r="AF16" s="5" t="n">
        <f aca="false">AF13+AF14+AF15</f>
        <v>11178.0546358933</v>
      </c>
      <c r="AG16" s="5" t="n">
        <f aca="false">AG13+AG14+AG15</f>
        <v>11849.2621968165</v>
      </c>
      <c r="AH16" s="5" t="n">
        <f aca="false">AH13+AH14+AH15</f>
        <v>12511.977118912</v>
      </c>
      <c r="AI16" s="5" t="n">
        <f aca="false">AI13+AI14+AI15</f>
        <v>13166.3377454646</v>
      </c>
      <c r="AJ16" s="5" t="n">
        <f aca="false">AJ13+AJ14+AJ15</f>
        <v>13812.4794338195</v>
      </c>
      <c r="AK16" s="5" t="n">
        <f aca="false">AK13+AK14+AK15</f>
        <v>14450.5346333165</v>
      </c>
    </row>
    <row r="17" customFormat="false" ht="15" hidden="false" customHeight="false" outlineLevel="0" collapsed="false">
      <c r="A17" s="0" t="s">
        <v>102</v>
      </c>
      <c r="B17" s="5" t="n">
        <f aca="false">IF((B11+B8*Ipotesi!$C$18)&gt;0,IF(AND(Ipotesi!$F$37=1,B4=0),(B11+B8*Ipotesi!$C$18)*Ipotesi!$C$14,Ipotesi!$C$12+MAX(0,(B11+B8*Ipotesi!$C$18)-Ipotesi!$C$13)*Ipotesi!$C$14),0)</f>
        <v>0</v>
      </c>
      <c r="C17" s="5" t="n">
        <f aca="false">IF((C11+C8*Ipotesi!$C$18)&gt;0,IF(AND(Ipotesi!$F$37=1,C4=0),(C11+C8*Ipotesi!$C$18)*Ipotesi!$C$14,Ipotesi!$C$12+MAX(0,(C11+C8*Ipotesi!$C$18)-Ipotesi!$C$13)*Ipotesi!$C$14),0)</f>
        <v>0</v>
      </c>
      <c r="D17" s="5" t="n">
        <f aca="false">IF((D11+D8*Ipotesi!$C$18)&gt;0,IF(AND(Ipotesi!$F$37=1,D4=0),(D11+D8*Ipotesi!$C$18)*Ipotesi!$C$14,Ipotesi!$C$12+MAX(0,(D11+D8*Ipotesi!$C$18)-Ipotesi!$C$13)*Ipotesi!$C$14),0)</f>
        <v>0</v>
      </c>
      <c r="E17" s="5" t="n">
        <f aca="false">IF((E11+E8*Ipotesi!$C$18)&gt;0,IF(AND(Ipotesi!$F$37=1,E4=0),(E11+E8*Ipotesi!$C$18)*Ipotesi!$C$14,Ipotesi!$C$12+MAX(0,(E11+E8*Ipotesi!$C$18)-Ipotesi!$C$13)*Ipotesi!$C$14),0)</f>
        <v>0</v>
      </c>
      <c r="F17" s="5" t="n">
        <f aca="false">IF((F11+F8*Ipotesi!$C$18)&gt;0,IF(AND(Ipotesi!$F$37=1,F4=0),(F11+F8*Ipotesi!$C$18)*Ipotesi!$C$14,Ipotesi!$C$12+MAX(0,(F11+F8*Ipotesi!$C$18)-Ipotesi!$C$13)*Ipotesi!$C$14),0)</f>
        <v>0</v>
      </c>
      <c r="G17" s="5" t="n">
        <f aca="false">IF((G11+G8*Ipotesi!$C$18)&gt;0,IF(AND(Ipotesi!$F$37=1,G4=0),(G11+G8*Ipotesi!$C$18)*Ipotesi!$C$14,Ipotesi!$C$12+MAX(0,(G11+G8*Ipotesi!$C$18)-Ipotesi!$C$13)*Ipotesi!$C$14),0)</f>
        <v>0</v>
      </c>
      <c r="H17" s="5" t="n">
        <f aca="false">IF((H11+H8*Ipotesi!$C$18)&gt;0,IF(AND(Ipotesi!$F$37=1,H4=0),(H11+H8*Ipotesi!$C$18)*Ipotesi!$C$14,Ipotesi!$C$12+MAX(0,(H11+H8*Ipotesi!$C$18)-Ipotesi!$C$13)*Ipotesi!$C$14),0)</f>
        <v>350</v>
      </c>
      <c r="I17" s="5" t="n">
        <f aca="false">IF((I11+I8*Ipotesi!$C$18)&gt;0,IF(AND(Ipotesi!$F$37=1,I4=0),(I11+I8*Ipotesi!$C$18)*Ipotesi!$C$14,Ipotesi!$C$12+MAX(0,(I11+I8*Ipotesi!$C$18)-Ipotesi!$C$13)*Ipotesi!$C$14),0)</f>
        <v>350</v>
      </c>
      <c r="J17" s="5" t="n">
        <f aca="false">IF((J11+J8*Ipotesi!$C$18)&gt;0,IF(AND(Ipotesi!$F$37=1,J4=0),(J11+J8*Ipotesi!$C$18)*Ipotesi!$C$14,Ipotesi!$C$12+MAX(0,(J11+J8*Ipotesi!$C$18)-Ipotesi!$C$13)*Ipotesi!$C$14),0)</f>
        <v>401.1875</v>
      </c>
      <c r="K17" s="5" t="n">
        <f aca="false">IF((K11+K8*Ipotesi!$C$18)&gt;0,IF(AND(Ipotesi!$F$37=1,K4=0),(K11+K8*Ipotesi!$C$18)*Ipotesi!$C$14,Ipotesi!$C$12+MAX(0,(K11+K8*Ipotesi!$C$18)-Ipotesi!$C$13)*Ipotesi!$C$14),0)</f>
        <v>631.925</v>
      </c>
      <c r="L17" s="5" t="n">
        <f aca="false">IF((L11+L8*Ipotesi!$C$18)&gt;0,IF(AND(Ipotesi!$F$37=1,L4=0),(L11+L8*Ipotesi!$C$18)*Ipotesi!$C$14,Ipotesi!$C$12+MAX(0,(L11+L8*Ipotesi!$C$18)-Ipotesi!$C$13)*Ipotesi!$C$14),0)</f>
        <v>861.5285</v>
      </c>
      <c r="M17" s="5" t="n">
        <f aca="false">IF((M11+M8*Ipotesi!$C$18)&gt;0,IF(AND(Ipotesi!$F$37=1,M4=0),(M11+M8*Ipotesi!$C$18)*Ipotesi!$C$14,Ipotesi!$C$12+MAX(0,(M11+M8*Ipotesi!$C$18)-Ipotesi!$C$13)*Ipotesi!$C$14),0)</f>
        <v>1090.03202</v>
      </c>
      <c r="N17" s="5" t="n">
        <f aca="false">IF((N11+N8*Ipotesi!$C$18)&gt;0,IF(AND(Ipotesi!$F$37=1,N4=0),(N11+N8*Ipotesi!$C$18)*Ipotesi!$C$14,Ipotesi!$C$12+MAX(0,(N11+N8*Ipotesi!$C$18)-Ipotesi!$C$13)*Ipotesi!$C$14),0)</f>
        <v>1124.5310594</v>
      </c>
      <c r="O17" s="5" t="n">
        <f aca="false">IF((O11+O8*Ipotesi!$C$18)&gt;0,IF(AND(Ipotesi!$F$37=1,O4=0),(O11+O8*Ipotesi!$C$18)*Ipotesi!$C$14,Ipotesi!$C$12+MAX(0,(O11+O8*Ipotesi!$C$18)-Ipotesi!$C$13)*Ipotesi!$C$14),0)</f>
        <v>1233.595127618</v>
      </c>
      <c r="P17" s="5" t="n">
        <f aca="false">IF((P11+P8*Ipotesi!$C$18)&gt;0,IF(AND(Ipotesi!$F$37=1,P4=0),(P11+P8*Ipotesi!$C$18)*Ipotesi!$C$14,Ipotesi!$C$12+MAX(0,(P11+P8*Ipotesi!$C$18)-Ipotesi!$C$13)*Ipotesi!$C$14),0)</f>
        <v>1341.65527378946</v>
      </c>
      <c r="Q17" s="5" t="n">
        <f aca="false">IF((Q11+Q8*Ipotesi!$C$18)&gt;0,IF(AND(Ipotesi!$F$37=1,Q4=0),(Q11+Q8*Ipotesi!$C$18)*Ipotesi!$C$14,Ipotesi!$C$12+MAX(0,(Q11+Q8*Ipotesi!$C$18)-Ipotesi!$C$13)*Ipotesi!$C$14),0)</f>
        <v>1448.74161557578</v>
      </c>
      <c r="R17" s="5" t="n">
        <f aca="false">IF((R11+R8*Ipotesi!$C$18)&gt;0,IF(AND(Ipotesi!$F$37=1,R4=0),(R11+R8*Ipotesi!$C$18)*Ipotesi!$C$14,Ipotesi!$C$12+MAX(0,(R11+R8*Ipotesi!$C$18)-Ipotesi!$C$13)*Ipotesi!$C$14),0)</f>
        <v>1554.8833671085</v>
      </c>
      <c r="S17" s="5" t="n">
        <f aca="false">IF((S11+S8*Ipotesi!$C$18)&gt;0,IF(AND(Ipotesi!$F$37=1,S4=0),(S11+S8*Ipotesi!$C$18)*Ipotesi!$C$14,Ipotesi!$C$12+MAX(0,(S11+S8*Ipotesi!$C$18)-Ipotesi!$C$13)*Ipotesi!$C$14),0)</f>
        <v>1660.10886609525</v>
      </c>
      <c r="T17" s="5" t="n">
        <f aca="false">IF((T11+T8*Ipotesi!$C$18)&gt;0,IF(AND(Ipotesi!$F$37=1,T4=0),(T11+T8*Ipotesi!$C$18)*Ipotesi!$C$14,Ipotesi!$C$12+MAX(0,(T11+T8*Ipotesi!$C$18)-Ipotesi!$C$13)*Ipotesi!$C$14),0)</f>
        <v>1764.44560011239</v>
      </c>
      <c r="U17" s="5" t="n">
        <f aca="false">IF((U11+U8*Ipotesi!$C$18)&gt;0,IF(AND(Ipotesi!$F$37=1,U4=0),(U11+U8*Ipotesi!$C$18)*Ipotesi!$C$14,Ipotesi!$C$12+MAX(0,(U11+U8*Ipotesi!$C$18)-Ipotesi!$C$13)*Ipotesi!$C$14),0)</f>
        <v>1867.92023210902</v>
      </c>
      <c r="V17" s="5" t="n">
        <f aca="false">IF((V11+V8*Ipotesi!$C$18)&gt;0,IF(AND(Ipotesi!$F$37=1,V4=0),(V11+V8*Ipotesi!$C$18)*Ipotesi!$C$14,Ipotesi!$C$12+MAX(0,(V11+V8*Ipotesi!$C$18)-Ipotesi!$C$13)*Ipotesi!$C$14),0)</f>
        <v>1970.55862514575</v>
      </c>
      <c r="W17" s="5" t="n">
        <f aca="false">IF((W11+W8*Ipotesi!$C$18)&gt;0,IF(AND(Ipotesi!$F$37=1,W4=0),(W11+W8*Ipotesi!$C$18)*Ipotesi!$C$14,Ipotesi!$C$12+MAX(0,(W11+W8*Ipotesi!$C$18)-Ipotesi!$C$13)*Ipotesi!$C$14),0)</f>
        <v>2072.38586639138</v>
      </c>
      <c r="X17" s="5" t="n">
        <f aca="false">IF((X11+X8*Ipotesi!$C$18)&gt;0,IF(AND(Ipotesi!$F$37=1,X4=0),(X11+X8*Ipotesi!$C$18)*Ipotesi!$C$14,Ipotesi!$C$12+MAX(0,(X11+X8*Ipotesi!$C$18)-Ipotesi!$C$13)*Ipotesi!$C$14),0)</f>
        <v>2173.42629039963</v>
      </c>
      <c r="Y17" s="5" t="n">
        <f aca="false">IF((Y11+Y8*Ipotesi!$C$18)&gt;0,IF(AND(Ipotesi!$F$37=1,Y4=0),(Y11+Y8*Ipotesi!$C$18)*Ipotesi!$C$14,Ipotesi!$C$12+MAX(0,(Y11+Y8*Ipotesi!$C$18)-Ipotesi!$C$13)*Ipotesi!$C$14),0)</f>
        <v>2273.70350168765</v>
      </c>
      <c r="Z17" s="5" t="n">
        <f aca="false">IF((Z11+Z8*Ipotesi!$C$18)&gt;0,IF(AND(Ipotesi!$F$37=1,Z4=0),(Z11+Z8*Ipotesi!$C$18)*Ipotesi!$C$14,Ipotesi!$C$12+MAX(0,(Z11+Z8*Ipotesi!$C$18)-Ipotesi!$C$13)*Ipotesi!$C$14),0)</f>
        <v>2373.24039663702</v>
      </c>
      <c r="AA17" s="5" t="n">
        <f aca="false">IF((AA11+AA8*Ipotesi!$C$18)&gt;0,IF(AND(Ipotesi!$F$37=1,AA4=0),(AA11+AA8*Ipotesi!$C$18)*Ipotesi!$C$14,Ipotesi!$C$12+MAX(0,(AA11+AA8*Ipotesi!$C$18)-Ipotesi!$C$13)*Ipotesi!$C$14),0)</f>
        <v>2472.05918473791</v>
      </c>
      <c r="AB17" s="5" t="n">
        <f aca="false">IF((AB11+AB8*Ipotesi!$C$18)&gt;0,IF(AND(Ipotesi!$F$37=1,AB4=0),(AB11+AB8*Ipotesi!$C$18)*Ipotesi!$C$14,Ipotesi!$C$12+MAX(0,(AB11+AB8*Ipotesi!$C$18)-Ipotesi!$C$13)*Ipotesi!$C$14),0)</f>
        <v>2570.18140919577</v>
      </c>
      <c r="AC17" s="5" t="n">
        <f aca="false">IF((AC11+AC8*Ipotesi!$C$18)&gt;0,IF(AND(Ipotesi!$F$37=1,AC4=0),(AC11+AC8*Ipotesi!$C$18)*Ipotesi!$C$14,Ipotesi!$C$12+MAX(0,(AC11+AC8*Ipotesi!$C$18)-Ipotesi!$C$13)*Ipotesi!$C$14),0)</f>
        <v>2667.6279669199</v>
      </c>
      <c r="AD17" s="5" t="n">
        <f aca="false">IF((AD11+AD8*Ipotesi!$C$18)&gt;0,IF(AND(Ipotesi!$F$37=1,AD4=0),(AD11+AD8*Ipotesi!$C$18)*Ipotesi!$C$14,Ipotesi!$C$12+MAX(0,(AD11+AD8*Ipotesi!$C$18)-Ipotesi!$C$13)*Ipotesi!$C$14),0)</f>
        <v>2814.8191279123</v>
      </c>
      <c r="AE17" s="5" t="n">
        <f aca="false">IF((AE11+AE8*Ipotesi!$C$18)&gt;0,IF(AND(Ipotesi!$F$37=1,AE4=0),(AE11+AE8*Ipotesi!$C$18)*Ipotesi!$C$14,Ipotesi!$C$12+MAX(0,(AE11+AE8*Ipotesi!$C$18)-Ipotesi!$C$13)*Ipotesi!$C$14),0)</f>
        <v>2960.11455407493</v>
      </c>
      <c r="AF17" s="5" t="n">
        <f aca="false">IF((AF11+AF8*Ipotesi!$C$18)&gt;0,IF(AND(Ipotesi!$F$37=1,AF4=0),(AF11+AF8*Ipotesi!$C$18)*Ipotesi!$C$14,Ipotesi!$C$12+MAX(0,(AF11+AF8*Ipotesi!$C$18)-Ipotesi!$C$13)*Ipotesi!$C$14),0)</f>
        <v>3103.54591745268</v>
      </c>
      <c r="AG17" s="5" t="n">
        <f aca="false">IF((AG11+AG8*Ipotesi!$C$18)&gt;0,IF(AND(Ipotesi!$F$37=1,AG4=0),(AG11+AG8*Ipotesi!$C$18)*Ipotesi!$C$14,Ipotesi!$C$12+MAX(0,(AG11+AG8*Ipotesi!$C$18)-Ipotesi!$C$13)*Ipotesi!$C$14),0)</f>
        <v>3245.1441919291</v>
      </c>
      <c r="AH17" s="5" t="n">
        <f aca="false">IF((AH11+AH8*Ipotesi!$C$18)&gt;0,IF(AND(Ipotesi!$F$37=1,AH4=0),(AH11+AH8*Ipotesi!$C$18)*Ipotesi!$C$14,Ipotesi!$C$12+MAX(0,(AH11+AH8*Ipotesi!$C$18)-Ipotesi!$C$13)*Ipotesi!$C$14),0)</f>
        <v>3384.93967165123</v>
      </c>
      <c r="AI17" s="5" t="n">
        <f aca="false">IF((AI11+AI8*Ipotesi!$C$18)&gt;0,IF(AND(Ipotesi!$F$37=1,AI4=0),(AI11+AI8*Ipotesi!$C$18)*Ipotesi!$C$14,Ipotesi!$C$12+MAX(0,(AI11+AI8*Ipotesi!$C$18)-Ipotesi!$C$13)*Ipotesi!$C$14),0)</f>
        <v>3522.96198892689</v>
      </c>
      <c r="AJ17" s="5" t="n">
        <f aca="false">IF((AJ11+AJ8*Ipotesi!$C$18)&gt;0,IF(AND(Ipotesi!$F$37=1,AJ4=0),(AJ11+AJ8*Ipotesi!$C$18)*Ipotesi!$C$14,Ipotesi!$C$12+MAX(0,(AJ11+AJ8*Ipotesi!$C$18)-Ipotesi!$C$13)*Ipotesi!$C$14),0)</f>
        <v>3659.24013161003</v>
      </c>
      <c r="AK17" s="5" t="n">
        <f aca="false">IF((AK11+AK8*Ipotesi!$C$18)&gt;0,IF(AND(Ipotesi!$F$37=1,AK4=0),(AK11+AK8*Ipotesi!$C$18)*Ipotesi!$C$14,Ipotesi!$C$12+MAX(0,(AK11+AK8*Ipotesi!$C$18)-Ipotesi!$C$13)*Ipotesi!$C$14),0)</f>
        <v>3793.80245998917</v>
      </c>
    </row>
    <row r="18" customFormat="false" ht="15" hidden="false" customHeight="false" outlineLevel="0" collapsed="false">
      <c r="A18" s="0" t="s">
        <v>103</v>
      </c>
      <c r="B18" s="5" t="n">
        <f aca="false">B11*Ipotesi!$C$15</f>
        <v>0</v>
      </c>
      <c r="C18" s="5" t="n">
        <f aca="false">C11*Ipotesi!$C$15</f>
        <v>0</v>
      </c>
      <c r="D18" s="5" t="n">
        <f aca="false">D11*Ipotesi!$C$15</f>
        <v>0</v>
      </c>
      <c r="E18" s="5" t="n">
        <f aca="false">E11*Ipotesi!$C$15</f>
        <v>0</v>
      </c>
      <c r="F18" s="5" t="n">
        <f aca="false">F11*Ipotesi!$C$15</f>
        <v>0</v>
      </c>
      <c r="G18" s="5" t="n">
        <f aca="false">G11*Ipotesi!$C$15</f>
        <v>0</v>
      </c>
      <c r="H18" s="5" t="n">
        <f aca="false">H11*Ipotesi!$C$15</f>
        <v>2</v>
      </c>
      <c r="I18" s="5" t="n">
        <f aca="false">I11*Ipotesi!$C$15</f>
        <v>2</v>
      </c>
      <c r="J18" s="5" t="n">
        <f aca="false">J11*Ipotesi!$C$15</f>
        <v>26.5</v>
      </c>
      <c r="K18" s="5" t="n">
        <f aca="false">K11*Ipotesi!$C$15</f>
        <v>51</v>
      </c>
      <c r="L18" s="5" t="n">
        <f aca="false">L11*Ipotesi!$C$15</f>
        <v>75.5</v>
      </c>
      <c r="M18" s="5" t="n">
        <f aca="false">M11*Ipotesi!$C$15</f>
        <v>100</v>
      </c>
      <c r="N18" s="5" t="n">
        <f aca="false">N11*Ipotesi!$C$15</f>
        <v>100</v>
      </c>
      <c r="O18" s="5" t="n">
        <f aca="false">O11*Ipotesi!$C$15</f>
        <v>109.6</v>
      </c>
      <c r="P18" s="5" t="n">
        <f aca="false">P11*Ipotesi!$C$15</f>
        <v>119.2</v>
      </c>
      <c r="Q18" s="5" t="n">
        <f aca="false">Q11*Ipotesi!$C$15</f>
        <v>128.8</v>
      </c>
      <c r="R18" s="5" t="n">
        <f aca="false">R11*Ipotesi!$C$15</f>
        <v>138.4</v>
      </c>
      <c r="S18" s="5" t="n">
        <f aca="false">S11*Ipotesi!$C$15</f>
        <v>148</v>
      </c>
      <c r="T18" s="5" t="n">
        <f aca="false">T11*Ipotesi!$C$15</f>
        <v>157.6</v>
      </c>
      <c r="U18" s="5" t="n">
        <f aca="false">U11*Ipotesi!$C$15</f>
        <v>167.2</v>
      </c>
      <c r="V18" s="5" t="n">
        <f aca="false">V11*Ipotesi!$C$15</f>
        <v>176.8</v>
      </c>
      <c r="W18" s="5" t="n">
        <f aca="false">W11*Ipotesi!$C$15</f>
        <v>186.4</v>
      </c>
      <c r="X18" s="5" t="n">
        <f aca="false">X11*Ipotesi!$C$15</f>
        <v>196</v>
      </c>
      <c r="Y18" s="5" t="n">
        <f aca="false">Y11*Ipotesi!$C$15</f>
        <v>205.6</v>
      </c>
      <c r="Z18" s="5" t="n">
        <f aca="false">Z11*Ipotesi!$C$15</f>
        <v>215.2</v>
      </c>
      <c r="AA18" s="5" t="n">
        <f aca="false">AA11*Ipotesi!$C$15</f>
        <v>224.8</v>
      </c>
      <c r="AB18" s="5" t="n">
        <f aca="false">AB11*Ipotesi!$C$15</f>
        <v>234.4</v>
      </c>
      <c r="AC18" s="5" t="n">
        <f aca="false">AC11*Ipotesi!$C$15</f>
        <v>244</v>
      </c>
      <c r="AD18" s="5" t="n">
        <f aca="false">AD11*Ipotesi!$C$15</f>
        <v>260</v>
      </c>
      <c r="AE18" s="5" t="n">
        <f aca="false">AE11*Ipotesi!$C$15</f>
        <v>275.84</v>
      </c>
      <c r="AF18" s="5" t="n">
        <f aca="false">AF11*Ipotesi!$C$15</f>
        <v>291.5216</v>
      </c>
      <c r="AG18" s="5" t="n">
        <f aca="false">AG11*Ipotesi!$C$15</f>
        <v>307.046384</v>
      </c>
      <c r="AH18" s="5" t="n">
        <f aca="false">AH11*Ipotesi!$C$15</f>
        <v>322.41592016</v>
      </c>
      <c r="AI18" s="5" t="n">
        <f aca="false">AI11*Ipotesi!$C$15</f>
        <v>337.6317609584</v>
      </c>
      <c r="AJ18" s="5" t="n">
        <f aca="false">AJ11*Ipotesi!$C$15</f>
        <v>352.695443348816</v>
      </c>
      <c r="AK18" s="5" t="n">
        <f aca="false">AK11*Ipotesi!$C$15</f>
        <v>367.608488915328</v>
      </c>
    </row>
    <row r="19" customFormat="false" ht="15" hidden="false" customHeight="false" outlineLevel="0" collapsed="false">
      <c r="A19" s="0" t="s">
        <v>104</v>
      </c>
      <c r="B19" s="5" t="n">
        <f aca="false">B11*Ipotesi!$C$10*Ipotesi!$C$16</f>
        <v>0</v>
      </c>
      <c r="C19" s="5" t="n">
        <f aca="false">C11*Ipotesi!$C$10*Ipotesi!$C$16</f>
        <v>0</v>
      </c>
      <c r="D19" s="5" t="n">
        <f aca="false">D11*Ipotesi!$C$10*Ipotesi!$C$16</f>
        <v>0</v>
      </c>
      <c r="E19" s="5" t="n">
        <f aca="false">E11*Ipotesi!$C$10*Ipotesi!$C$16</f>
        <v>0</v>
      </c>
      <c r="F19" s="5" t="n">
        <f aca="false">F11*Ipotesi!$C$10*Ipotesi!$C$16</f>
        <v>0</v>
      </c>
      <c r="G19" s="5" t="n">
        <f aca="false">G11*Ipotesi!$C$10*Ipotesi!$C$16</f>
        <v>0</v>
      </c>
      <c r="H19" s="5" t="n">
        <f aca="false">H11*Ipotesi!$C$10*Ipotesi!$C$16</f>
        <v>19.2</v>
      </c>
      <c r="I19" s="5" t="n">
        <f aca="false">I11*Ipotesi!$C$10*Ipotesi!$C$16</f>
        <v>19.2</v>
      </c>
      <c r="J19" s="5" t="n">
        <f aca="false">J11*Ipotesi!$C$10*Ipotesi!$C$16</f>
        <v>254.4</v>
      </c>
      <c r="K19" s="5" t="n">
        <f aca="false">K11*Ipotesi!$C$10*Ipotesi!$C$16</f>
        <v>489.6</v>
      </c>
      <c r="L19" s="5" t="n">
        <f aca="false">L11*Ipotesi!$C$10*Ipotesi!$C$16</f>
        <v>724.8</v>
      </c>
      <c r="M19" s="5" t="n">
        <f aca="false">M11*Ipotesi!$C$10*Ipotesi!$C$16</f>
        <v>960</v>
      </c>
      <c r="N19" s="5" t="n">
        <f aca="false">N11*Ipotesi!$C$10*Ipotesi!$C$16</f>
        <v>960</v>
      </c>
      <c r="O19" s="5" t="n">
        <f aca="false">O11*Ipotesi!$C$10*Ipotesi!$C$16</f>
        <v>1052.16</v>
      </c>
      <c r="P19" s="5" t="n">
        <f aca="false">P11*Ipotesi!$C$10*Ipotesi!$C$16</f>
        <v>1144.32</v>
      </c>
      <c r="Q19" s="5" t="n">
        <f aca="false">Q11*Ipotesi!$C$10*Ipotesi!$C$16</f>
        <v>1236.48</v>
      </c>
      <c r="R19" s="5" t="n">
        <f aca="false">R11*Ipotesi!$C$10*Ipotesi!$C$16</f>
        <v>1328.64</v>
      </c>
      <c r="S19" s="5" t="n">
        <f aca="false">S11*Ipotesi!$C$10*Ipotesi!$C$16</f>
        <v>1420.8</v>
      </c>
      <c r="T19" s="5" t="n">
        <f aca="false">T11*Ipotesi!$C$10*Ipotesi!$C$16</f>
        <v>1512.96</v>
      </c>
      <c r="U19" s="5" t="n">
        <f aca="false">U11*Ipotesi!$C$10*Ipotesi!$C$16</f>
        <v>1605.12</v>
      </c>
      <c r="V19" s="5" t="n">
        <f aca="false">V11*Ipotesi!$C$10*Ipotesi!$C$16</f>
        <v>1697.28</v>
      </c>
      <c r="W19" s="5" t="n">
        <f aca="false">W11*Ipotesi!$C$10*Ipotesi!$C$16</f>
        <v>1789.44</v>
      </c>
      <c r="X19" s="5" t="n">
        <f aca="false">X11*Ipotesi!$C$10*Ipotesi!$C$16</f>
        <v>1881.6</v>
      </c>
      <c r="Y19" s="5" t="n">
        <f aca="false">Y11*Ipotesi!$C$10*Ipotesi!$C$16</f>
        <v>1973.76</v>
      </c>
      <c r="Z19" s="5" t="n">
        <f aca="false">Z11*Ipotesi!$C$10*Ipotesi!$C$16</f>
        <v>2065.92</v>
      </c>
      <c r="AA19" s="5" t="n">
        <f aca="false">AA11*Ipotesi!$C$10*Ipotesi!$C$16</f>
        <v>2158.08</v>
      </c>
      <c r="AB19" s="5" t="n">
        <f aca="false">AB11*Ipotesi!$C$10*Ipotesi!$C$16</f>
        <v>2250.24</v>
      </c>
      <c r="AC19" s="5" t="n">
        <f aca="false">AC11*Ipotesi!$C$10*Ipotesi!$C$16</f>
        <v>2342.4</v>
      </c>
      <c r="AD19" s="5" t="n">
        <f aca="false">AD11*Ipotesi!$C$10*Ipotesi!$C$16</f>
        <v>2496</v>
      </c>
      <c r="AE19" s="5" t="n">
        <f aca="false">AE11*Ipotesi!$C$10*Ipotesi!$C$16</f>
        <v>2648.064</v>
      </c>
      <c r="AF19" s="5" t="n">
        <f aca="false">AF11*Ipotesi!$C$10*Ipotesi!$C$16</f>
        <v>2798.60736</v>
      </c>
      <c r="AG19" s="5" t="n">
        <f aca="false">AG11*Ipotesi!$C$10*Ipotesi!$C$16</f>
        <v>2947.6452864</v>
      </c>
      <c r="AH19" s="5" t="n">
        <f aca="false">AH11*Ipotesi!$C$10*Ipotesi!$C$16</f>
        <v>3095.192833536</v>
      </c>
      <c r="AI19" s="5" t="n">
        <f aca="false">AI11*Ipotesi!$C$10*Ipotesi!$C$16</f>
        <v>3241.26490520064</v>
      </c>
      <c r="AJ19" s="5" t="n">
        <f aca="false">AJ11*Ipotesi!$C$10*Ipotesi!$C$16</f>
        <v>3385.87625614863</v>
      </c>
      <c r="AK19" s="5" t="n">
        <f aca="false">AK11*Ipotesi!$C$10*Ipotesi!$C$16</f>
        <v>3529.04149358715</v>
      </c>
    </row>
    <row r="20" customFormat="false" ht="15" hidden="false" customHeight="false" outlineLevel="0" collapsed="false">
      <c r="A20" s="0" t="s">
        <v>105</v>
      </c>
      <c r="B20" s="5" t="n">
        <f aca="false">B8*Ipotesi!$C$18*Ipotesi!$C$15</f>
        <v>0</v>
      </c>
      <c r="C20" s="5" t="n">
        <f aca="false">C8*Ipotesi!$C$18*Ipotesi!$C$15</f>
        <v>0</v>
      </c>
      <c r="D20" s="5" t="n">
        <f aca="false">D8*Ipotesi!$C$18*Ipotesi!$C$15</f>
        <v>0</v>
      </c>
      <c r="E20" s="5" t="n">
        <f aca="false">E8*Ipotesi!$C$18*Ipotesi!$C$15</f>
        <v>0</v>
      </c>
      <c r="F20" s="5" t="n">
        <f aca="false">F8*Ipotesi!$C$18*Ipotesi!$C$15</f>
        <v>0</v>
      </c>
      <c r="G20" s="5" t="n">
        <f aca="false">G8*Ipotesi!$C$18*Ipotesi!$C$15</f>
        <v>0</v>
      </c>
      <c r="H20" s="5" t="n">
        <f aca="false">H8*Ipotesi!$C$18*Ipotesi!$C$15</f>
        <v>0</v>
      </c>
      <c r="I20" s="5" t="n">
        <f aca="false">I8*Ipotesi!$C$18*Ipotesi!$C$15</f>
        <v>0</v>
      </c>
      <c r="J20" s="5" t="n">
        <f aca="false">J8*Ipotesi!$C$18*Ipotesi!$C$15</f>
        <v>0</v>
      </c>
      <c r="K20" s="5" t="n">
        <f aca="false">K8*Ipotesi!$C$18*Ipotesi!$C$15</f>
        <v>4.8</v>
      </c>
      <c r="L20" s="5" t="n">
        <f aca="false">L8*Ipotesi!$C$18*Ipotesi!$C$15</f>
        <v>9.456</v>
      </c>
      <c r="M20" s="5" t="n">
        <f aca="false">M8*Ipotesi!$C$18*Ipotesi!$C$15</f>
        <v>13.97232</v>
      </c>
      <c r="N20" s="5" t="n">
        <f aca="false">N8*Ipotesi!$C$18*Ipotesi!$C$15</f>
        <v>18.3531504</v>
      </c>
      <c r="O20" s="5" t="n">
        <f aca="false">O8*Ipotesi!$C$18*Ipotesi!$C$15</f>
        <v>22.602555888</v>
      </c>
      <c r="P20" s="5" t="n">
        <f aca="false">P8*Ipotesi!$C$18*Ipotesi!$C$15</f>
        <v>26.72447921136</v>
      </c>
      <c r="Q20" s="5" t="n">
        <f aca="false">Q8*Ipotesi!$C$18*Ipotesi!$C$15</f>
        <v>30.7227448350192</v>
      </c>
      <c r="R20" s="5" t="n">
        <f aca="false">R8*Ipotesi!$C$18*Ipotesi!$C$15</f>
        <v>34.6010624899686</v>
      </c>
      <c r="S20" s="5" t="n">
        <f aca="false">S8*Ipotesi!$C$18*Ipotesi!$C$15</f>
        <v>38.3630306152696</v>
      </c>
      <c r="T20" s="5" t="n">
        <f aca="false">T8*Ipotesi!$C$18*Ipotesi!$C$15</f>
        <v>42.0121396968115</v>
      </c>
      <c r="U20" s="5" t="n">
        <f aca="false">U8*Ipotesi!$C$18*Ipotesi!$C$15</f>
        <v>45.5517755059071</v>
      </c>
      <c r="V20" s="5" t="n">
        <f aca="false">V8*Ipotesi!$C$18*Ipotesi!$C$15</f>
        <v>48.9852222407299</v>
      </c>
      <c r="W20" s="5" t="n">
        <f aca="false">W8*Ipotesi!$C$18*Ipotesi!$C$15</f>
        <v>52.315665573508</v>
      </c>
      <c r="X20" s="5" t="n">
        <f aca="false">X8*Ipotesi!$C$18*Ipotesi!$C$15</f>
        <v>55.5461956063028</v>
      </c>
      <c r="Y20" s="5" t="n">
        <f aca="false">Y8*Ipotesi!$C$18*Ipotesi!$C$15</f>
        <v>58.6798097381137</v>
      </c>
      <c r="Z20" s="5" t="n">
        <f aca="false">Z8*Ipotesi!$C$18*Ipotesi!$C$15</f>
        <v>61.7194154459703</v>
      </c>
      <c r="AA20" s="5" t="n">
        <f aca="false">AA8*Ipotesi!$C$18*Ipotesi!$C$15</f>
        <v>64.6678329825912</v>
      </c>
      <c r="AB20" s="5" t="n">
        <f aca="false">AB8*Ipotesi!$C$18*Ipotesi!$C$15</f>
        <v>67.5277979931134</v>
      </c>
      <c r="AC20" s="5" t="n">
        <f aca="false">AC8*Ipotesi!$C$18*Ipotesi!$C$15</f>
        <v>70.30196405332</v>
      </c>
      <c r="AD20" s="5" t="n">
        <f aca="false">AD8*Ipotesi!$C$18*Ipotesi!$C$15</f>
        <v>72.9929051317204</v>
      </c>
      <c r="AE20" s="5" t="n">
        <f aca="false">AE8*Ipotesi!$C$18*Ipotesi!$C$15</f>
        <v>75.6031179777688</v>
      </c>
      <c r="AF20" s="5" t="n">
        <f aca="false">AF8*Ipotesi!$C$18*Ipotesi!$C$15</f>
        <v>78.1350244384357</v>
      </c>
      <c r="AG20" s="5" t="n">
        <f aca="false">AG8*Ipotesi!$C$18*Ipotesi!$C$15</f>
        <v>80.5909737052827</v>
      </c>
      <c r="AH20" s="5" t="n">
        <f aca="false">AH8*Ipotesi!$C$18*Ipotesi!$C$15</f>
        <v>82.9732444941242</v>
      </c>
      <c r="AI20" s="5" t="n">
        <f aca="false">AI8*Ipotesi!$C$18*Ipotesi!$C$15</f>
        <v>85.2840471593005</v>
      </c>
      <c r="AJ20" s="5" t="n">
        <f aca="false">AJ8*Ipotesi!$C$18*Ipotesi!$C$15</f>
        <v>87.5255257445215</v>
      </c>
      <c r="AK20" s="5" t="n">
        <f aca="false">AK8*Ipotesi!$C$18*Ipotesi!$C$15</f>
        <v>89.6997599721858</v>
      </c>
    </row>
    <row r="21" customFormat="false" ht="15" hidden="false" customHeight="false" outlineLevel="0" collapsed="false">
      <c r="A21" s="1" t="s">
        <v>106</v>
      </c>
      <c r="B21" s="5" t="n">
        <f aca="false">B16-B17-B18-B19-B20</f>
        <v>0</v>
      </c>
      <c r="C21" s="5" t="n">
        <f aca="false">C16-C17-C18-C19-C20</f>
        <v>0</v>
      </c>
      <c r="D21" s="5" t="n">
        <f aca="false">D16-D17-D18-D19-D20</f>
        <v>0</v>
      </c>
      <c r="E21" s="5" t="n">
        <f aca="false">E16-E17-E18-E19-E20</f>
        <v>0</v>
      </c>
      <c r="F21" s="5" t="n">
        <f aca="false">F16-F17-F18-F19-F20</f>
        <v>0</v>
      </c>
      <c r="G21" s="5" t="n">
        <f aca="false">G16-G17-G18-G19-G20</f>
        <v>0</v>
      </c>
      <c r="H21" s="5" t="n">
        <f aca="false">H16-H17-H18-H19-H20</f>
        <v>-317.4</v>
      </c>
      <c r="I21" s="5" t="n">
        <f aca="false">I16-I17-I18-I19-I20</f>
        <v>-317.4</v>
      </c>
      <c r="J21" s="5" t="n">
        <f aca="false">J16-J17-J18-J19-J20</f>
        <v>30.7624999999999</v>
      </c>
      <c r="K21" s="5" t="n">
        <f aca="false">K16-K17-K18-K19-K20</f>
        <v>368.575</v>
      </c>
      <c r="L21" s="5" t="n">
        <f aca="false">L16-L17-L18-L19-L20</f>
        <v>702.4455</v>
      </c>
      <c r="M21" s="5" t="n">
        <f aca="false">M16-M17-M18-M19-M20</f>
        <v>1032.49226</v>
      </c>
      <c r="N21" s="5" t="n">
        <f aca="false">N16-N17-N18-N19-N20</f>
        <v>1152.4174922</v>
      </c>
      <c r="O21" s="5" t="n">
        <f aca="false">O16-O17-O18-O19-O20</f>
        <v>1349.624967434</v>
      </c>
      <c r="P21" s="5" t="n">
        <f aca="false">P16-P17-P18-P19-P20</f>
        <v>1543.34261841098</v>
      </c>
      <c r="Q21" s="5" t="n">
        <f aca="false">Q16-Q17-Q18-Q19-Q20</f>
        <v>1733.67513985865</v>
      </c>
      <c r="R21" s="5" t="n">
        <f aca="false">R16-R17-R18-R19-R20</f>
        <v>1920.72408566289</v>
      </c>
      <c r="S21" s="5" t="n">
        <f aca="false">S16-S17-S18-S19-S20</f>
        <v>2104.587963093</v>
      </c>
      <c r="T21" s="5" t="n">
        <f aca="false">T16-T17-T18-T19-T20</f>
        <v>2285.36232420021</v>
      </c>
      <c r="U21" s="5" t="n">
        <f aca="false">U16-U17-U18-U19-U20</f>
        <v>2463.13985447421</v>
      </c>
      <c r="V21" s="5" t="n">
        <f aca="false">V16-V17-V18-V19-V20</f>
        <v>2638.01045883998</v>
      </c>
      <c r="W21" s="5" t="n">
        <f aca="false">W16-W17-W18-W19-W20</f>
        <v>2810.06134507478</v>
      </c>
      <c r="X21" s="5" t="n">
        <f aca="false">X16-X17-X18-X19-X20</f>
        <v>2979.37710472254</v>
      </c>
      <c r="Y21" s="5" t="n">
        <f aca="false">Y16-Y17-Y18-Y19-Y20</f>
        <v>3146.03979158086</v>
      </c>
      <c r="Z21" s="5" t="n">
        <f aca="false">Z16-Z17-Z18-Z19-Z20</f>
        <v>3310.12899783344</v>
      </c>
      <c r="AA21" s="5" t="n">
        <f aca="false">AA16-AA17-AA18-AA19-AA20</f>
        <v>3471.72192789843</v>
      </c>
      <c r="AB21" s="5" t="n">
        <f aca="false">AB16-AB17-AB18-AB19-AB20</f>
        <v>3630.89347006148</v>
      </c>
      <c r="AC21" s="5" t="n">
        <f aca="false">AC16-AC17-AC18-AC19-AC20</f>
        <v>3787.71626595964</v>
      </c>
      <c r="AD21" s="5" t="n">
        <f aca="false">AD16-AD17-AD18-AD19-AD20</f>
        <v>4165.78077798085</v>
      </c>
      <c r="AE21" s="5" t="n">
        <f aca="false">AE16-AE17-AE18-AE19-AE20</f>
        <v>4538.59135464142</v>
      </c>
      <c r="AF21" s="5" t="n">
        <f aca="false">AF16-AF17-AF18-AF19-AF20</f>
        <v>4906.24473400218</v>
      </c>
      <c r="AG21" s="5" t="n">
        <f aca="false">AG16-AG17-AG18-AG19-AG20</f>
        <v>5268.83536078211</v>
      </c>
      <c r="AH21" s="5" t="n">
        <f aca="false">AH16-AH17-AH18-AH19-AH20</f>
        <v>5626.45544907065</v>
      </c>
      <c r="AI21" s="5" t="n">
        <f aca="false">AI16-AI17-AI18-AI19-AI20</f>
        <v>5979.19504321941</v>
      </c>
      <c r="AJ21" s="5" t="n">
        <f aca="false">AJ16-AJ17-AJ18-AJ19-AJ20</f>
        <v>6327.1420769675</v>
      </c>
      <c r="AK21" s="5" t="n">
        <f aca="false">AK16-AK17-AK18-AK19-AK20</f>
        <v>6670.3824308527</v>
      </c>
    </row>
    <row r="22" customFormat="false" ht="15" hidden="false" customHeight="false" outlineLevel="0" collapsed="false">
      <c r="A22" s="0" t="s">
        <v>16</v>
      </c>
      <c r="B22" s="5" t="n">
        <f aca="false">IF(B3=1,Ipotesi!$C$22+Ipotesi!$C$23+Ipotesi!$C$29,Ipotesi!$C$21)+IF(B2&gt;=Ipotesi!$C$26,Ipotesi!$C$24+Ipotesi!$C$25,0)+IF(B2=Ipotesi!$C$28,Ipotesi!$C$27,0)</f>
        <v>205</v>
      </c>
      <c r="C22" s="5" t="n">
        <f aca="false">IF(C3=1,Ipotesi!$C$22+Ipotesi!$C$23+Ipotesi!$C$29,Ipotesi!$C$21)+IF(C2&gt;=Ipotesi!$C$26,Ipotesi!$C$24+Ipotesi!$C$25,0)+IF(C2=Ipotesi!$C$28,Ipotesi!$C$27,0)</f>
        <v>455</v>
      </c>
      <c r="D22" s="5" t="n">
        <f aca="false">IF(D3=1,Ipotesi!$C$22+Ipotesi!$C$23+Ipotesi!$C$29,Ipotesi!$C$21)+IF(D2&gt;=Ipotesi!$C$26,Ipotesi!$C$24+Ipotesi!$C$25,0)+IF(D2=Ipotesi!$C$28,Ipotesi!$C$27,0)</f>
        <v>6455</v>
      </c>
      <c r="E22" s="5" t="n">
        <f aca="false">IF(E3=1,Ipotesi!$C$22+Ipotesi!$C$23+Ipotesi!$C$29,Ipotesi!$C$21)+IF(E2&gt;=Ipotesi!$C$26,Ipotesi!$C$24+Ipotesi!$C$25,0)+IF(E2=Ipotesi!$C$28,Ipotesi!$C$27,0)</f>
        <v>455</v>
      </c>
      <c r="F22" s="5" t="n">
        <f aca="false">IF(F3=1,Ipotesi!$C$22+Ipotesi!$C$23+Ipotesi!$C$29,Ipotesi!$C$21)+IF(F2&gt;=Ipotesi!$C$26,Ipotesi!$C$24+Ipotesi!$C$25,0)+IF(F2=Ipotesi!$C$28,Ipotesi!$C$27,0)</f>
        <v>455</v>
      </c>
      <c r="G22" s="5" t="n">
        <f aca="false">IF(G3=1,Ipotesi!$C$22+Ipotesi!$C$23+Ipotesi!$C$29,Ipotesi!$C$21)+IF(G2&gt;=Ipotesi!$C$26,Ipotesi!$C$24+Ipotesi!$C$25,0)+IF(G2=Ipotesi!$C$28,Ipotesi!$C$27,0)</f>
        <v>455</v>
      </c>
      <c r="H22" s="5" t="n">
        <f aca="false">IF(H3=1,Ipotesi!$C$22+Ipotesi!$C$23+Ipotesi!$C$29,Ipotesi!$C$21)+IF(H2&gt;=Ipotesi!$C$26,Ipotesi!$C$24+Ipotesi!$C$25,0)+IF(H2=Ipotesi!$C$28,Ipotesi!$C$27,0)</f>
        <v>945</v>
      </c>
      <c r="I22" s="5" t="n">
        <f aca="false">IF(I3=1,Ipotesi!$C$22+Ipotesi!$C$23+Ipotesi!$C$29,Ipotesi!$C$21)+IF(I2&gt;=Ipotesi!$C$26,Ipotesi!$C$24+Ipotesi!$C$25,0)+IF(I2=Ipotesi!$C$28,Ipotesi!$C$27,0)</f>
        <v>945</v>
      </c>
      <c r="J22" s="5" t="n">
        <f aca="false">IF(J3=1,Ipotesi!$C$22+Ipotesi!$C$23+Ipotesi!$C$29,Ipotesi!$C$21)+IF(J2&gt;=Ipotesi!$C$26,Ipotesi!$C$24+Ipotesi!$C$25,0)+IF(J2=Ipotesi!$C$28,Ipotesi!$C$27,0)</f>
        <v>945</v>
      </c>
      <c r="K22" s="5" t="n">
        <f aca="false">IF(K3=1,Ipotesi!$C$22+Ipotesi!$C$23+Ipotesi!$C$29,Ipotesi!$C$21)+IF(K2&gt;=Ipotesi!$C$26,Ipotesi!$C$24+Ipotesi!$C$25,0)+IF(K2=Ipotesi!$C$28,Ipotesi!$C$27,0)</f>
        <v>945</v>
      </c>
      <c r="L22" s="5" t="n">
        <f aca="false">IF(L3=1,Ipotesi!$C$22+Ipotesi!$C$23+Ipotesi!$C$29,Ipotesi!$C$21)+IF(L2&gt;=Ipotesi!$C$26,Ipotesi!$C$24+Ipotesi!$C$25,0)+IF(L2=Ipotesi!$C$28,Ipotesi!$C$27,0)</f>
        <v>945</v>
      </c>
      <c r="M22" s="5" t="n">
        <f aca="false">IF(M3=1,Ipotesi!$C$22+Ipotesi!$C$23+Ipotesi!$C$29,Ipotesi!$C$21)+IF(M2&gt;=Ipotesi!$C$26,Ipotesi!$C$24+Ipotesi!$C$25,0)+IF(M2=Ipotesi!$C$28,Ipotesi!$C$27,0)</f>
        <v>945</v>
      </c>
      <c r="N22" s="5" t="n">
        <f aca="false">IF(N3=1,Ipotesi!$C$22+Ipotesi!$C$23+Ipotesi!$C$29,Ipotesi!$C$21)+IF(N2&gt;=Ipotesi!$C$26,Ipotesi!$C$24+Ipotesi!$C$25,0)+IF(N2=Ipotesi!$C$28,Ipotesi!$C$27,0)</f>
        <v>945</v>
      </c>
      <c r="O22" s="5" t="n">
        <f aca="false">IF(O3=1,Ipotesi!$C$22+Ipotesi!$C$23+Ipotesi!$C$29,Ipotesi!$C$21)+IF(O2&gt;=Ipotesi!$C$26,Ipotesi!$C$24+Ipotesi!$C$25,0)+IF(O2=Ipotesi!$C$28,Ipotesi!$C$27,0)</f>
        <v>945</v>
      </c>
      <c r="P22" s="5" t="n">
        <f aca="false">IF(P3=1,Ipotesi!$C$22+Ipotesi!$C$23+Ipotesi!$C$29,Ipotesi!$C$21)+IF(P2&gt;=Ipotesi!$C$26,Ipotesi!$C$24+Ipotesi!$C$25,0)+IF(P2=Ipotesi!$C$28,Ipotesi!$C$27,0)</f>
        <v>945</v>
      </c>
      <c r="Q22" s="5" t="n">
        <f aca="false">IF(Q3=1,Ipotesi!$C$22+Ipotesi!$C$23+Ipotesi!$C$29,Ipotesi!$C$21)+IF(Q2&gt;=Ipotesi!$C$26,Ipotesi!$C$24+Ipotesi!$C$25,0)+IF(Q2=Ipotesi!$C$28,Ipotesi!$C$27,0)</f>
        <v>945</v>
      </c>
      <c r="R22" s="5" t="n">
        <f aca="false">IF(R3=1,Ipotesi!$C$22+Ipotesi!$C$23+Ipotesi!$C$29,Ipotesi!$C$21)+IF(R2&gt;=Ipotesi!$C$26,Ipotesi!$C$24+Ipotesi!$C$25,0)+IF(R2=Ipotesi!$C$28,Ipotesi!$C$27,0)</f>
        <v>945</v>
      </c>
      <c r="S22" s="5" t="n">
        <f aca="false">IF(S3=1,Ipotesi!$C$22+Ipotesi!$C$23+Ipotesi!$C$29,Ipotesi!$C$21)+IF(S2&gt;=Ipotesi!$C$26,Ipotesi!$C$24+Ipotesi!$C$25,0)+IF(S2=Ipotesi!$C$28,Ipotesi!$C$27,0)</f>
        <v>945</v>
      </c>
      <c r="T22" s="5" t="n">
        <f aca="false">IF(T3=1,Ipotesi!$C$22+Ipotesi!$C$23+Ipotesi!$C$29,Ipotesi!$C$21)+IF(T2&gt;=Ipotesi!$C$26,Ipotesi!$C$24+Ipotesi!$C$25,0)+IF(T2=Ipotesi!$C$28,Ipotesi!$C$27,0)</f>
        <v>945</v>
      </c>
      <c r="U22" s="5" t="n">
        <f aca="false">IF(U3=1,Ipotesi!$C$22+Ipotesi!$C$23+Ipotesi!$C$29,Ipotesi!$C$21)+IF(U2&gt;=Ipotesi!$C$26,Ipotesi!$C$24+Ipotesi!$C$25,0)+IF(U2=Ipotesi!$C$28,Ipotesi!$C$27,0)</f>
        <v>945</v>
      </c>
      <c r="V22" s="5" t="n">
        <f aca="false">IF(V3=1,Ipotesi!$C$22+Ipotesi!$C$23+Ipotesi!$C$29,Ipotesi!$C$21)+IF(V2&gt;=Ipotesi!$C$26,Ipotesi!$C$24+Ipotesi!$C$25,0)+IF(V2=Ipotesi!$C$28,Ipotesi!$C$27,0)</f>
        <v>945</v>
      </c>
      <c r="W22" s="5" t="n">
        <f aca="false">IF(W3=1,Ipotesi!$C$22+Ipotesi!$C$23+Ipotesi!$C$29,Ipotesi!$C$21)+IF(W2&gt;=Ipotesi!$C$26,Ipotesi!$C$24+Ipotesi!$C$25,0)+IF(W2=Ipotesi!$C$28,Ipotesi!$C$27,0)</f>
        <v>945</v>
      </c>
      <c r="X22" s="5" t="n">
        <f aca="false">IF(X3=1,Ipotesi!$C$22+Ipotesi!$C$23+Ipotesi!$C$29,Ipotesi!$C$21)+IF(X2&gt;=Ipotesi!$C$26,Ipotesi!$C$24+Ipotesi!$C$25,0)+IF(X2=Ipotesi!$C$28,Ipotesi!$C$27,0)</f>
        <v>945</v>
      </c>
      <c r="Y22" s="5" t="n">
        <f aca="false">IF(Y3=1,Ipotesi!$C$22+Ipotesi!$C$23+Ipotesi!$C$29,Ipotesi!$C$21)+IF(Y2&gt;=Ipotesi!$C$26,Ipotesi!$C$24+Ipotesi!$C$25,0)+IF(Y2=Ipotesi!$C$28,Ipotesi!$C$27,0)</f>
        <v>945</v>
      </c>
      <c r="Z22" s="5" t="n">
        <f aca="false">IF(Z3=1,Ipotesi!$C$22+Ipotesi!$C$23+Ipotesi!$C$29,Ipotesi!$C$21)+IF(Z2&gt;=Ipotesi!$C$26,Ipotesi!$C$24+Ipotesi!$C$25,0)+IF(Z2=Ipotesi!$C$28,Ipotesi!$C$27,0)</f>
        <v>945</v>
      </c>
      <c r="AA22" s="5" t="n">
        <f aca="false">IF(AA3=1,Ipotesi!$C$22+Ipotesi!$C$23+Ipotesi!$C$29,Ipotesi!$C$21)+IF(AA2&gt;=Ipotesi!$C$26,Ipotesi!$C$24+Ipotesi!$C$25,0)+IF(AA2=Ipotesi!$C$28,Ipotesi!$C$27,0)</f>
        <v>945</v>
      </c>
      <c r="AB22" s="5" t="n">
        <f aca="false">IF(AB3=1,Ipotesi!$C$22+Ipotesi!$C$23+Ipotesi!$C$29,Ipotesi!$C$21)+IF(AB2&gt;=Ipotesi!$C$26,Ipotesi!$C$24+Ipotesi!$C$25,0)+IF(AB2=Ipotesi!$C$28,Ipotesi!$C$27,0)</f>
        <v>945</v>
      </c>
      <c r="AC22" s="5" t="n">
        <f aca="false">IF(AC3=1,Ipotesi!$C$22+Ipotesi!$C$23+Ipotesi!$C$29,Ipotesi!$C$21)+IF(AC2&gt;=Ipotesi!$C$26,Ipotesi!$C$24+Ipotesi!$C$25,0)+IF(AC2=Ipotesi!$C$28,Ipotesi!$C$27,0)</f>
        <v>945</v>
      </c>
      <c r="AD22" s="5" t="n">
        <f aca="false">IF(AD3=1,Ipotesi!$C$22+Ipotesi!$C$23+Ipotesi!$C$29,Ipotesi!$C$21)+IF(AD2&gt;=Ipotesi!$C$26,Ipotesi!$C$24+Ipotesi!$C$25,0)+IF(AD2=Ipotesi!$C$28,Ipotesi!$C$27,0)</f>
        <v>945</v>
      </c>
      <c r="AE22" s="5" t="n">
        <f aca="false">IF(AE3=1,Ipotesi!$C$22+Ipotesi!$C$23+Ipotesi!$C$29,Ipotesi!$C$21)+IF(AE2&gt;=Ipotesi!$C$26,Ipotesi!$C$24+Ipotesi!$C$25,0)+IF(AE2=Ipotesi!$C$28,Ipotesi!$C$27,0)</f>
        <v>945</v>
      </c>
      <c r="AF22" s="5" t="n">
        <f aca="false">IF(AF3=1,Ipotesi!$C$22+Ipotesi!$C$23+Ipotesi!$C$29,Ipotesi!$C$21)+IF(AF2&gt;=Ipotesi!$C$26,Ipotesi!$C$24+Ipotesi!$C$25,0)+IF(AF2=Ipotesi!$C$28,Ipotesi!$C$27,0)</f>
        <v>945</v>
      </c>
      <c r="AG22" s="5" t="n">
        <f aca="false">IF(AG3=1,Ipotesi!$C$22+Ipotesi!$C$23+Ipotesi!$C$29,Ipotesi!$C$21)+IF(AG2&gt;=Ipotesi!$C$26,Ipotesi!$C$24+Ipotesi!$C$25,0)+IF(AG2=Ipotesi!$C$28,Ipotesi!$C$27,0)</f>
        <v>945</v>
      </c>
      <c r="AH22" s="5" t="n">
        <f aca="false">IF(AH3=1,Ipotesi!$C$22+Ipotesi!$C$23+Ipotesi!$C$29,Ipotesi!$C$21)+IF(AH2&gt;=Ipotesi!$C$26,Ipotesi!$C$24+Ipotesi!$C$25,0)+IF(AH2=Ipotesi!$C$28,Ipotesi!$C$27,0)</f>
        <v>945</v>
      </c>
      <c r="AI22" s="5" t="n">
        <f aca="false">IF(AI3=1,Ipotesi!$C$22+Ipotesi!$C$23+Ipotesi!$C$29,Ipotesi!$C$21)+IF(AI2&gt;=Ipotesi!$C$26,Ipotesi!$C$24+Ipotesi!$C$25,0)+IF(AI2=Ipotesi!$C$28,Ipotesi!$C$27,0)</f>
        <v>945</v>
      </c>
      <c r="AJ22" s="5" t="n">
        <f aca="false">IF(AJ3=1,Ipotesi!$C$22+Ipotesi!$C$23+Ipotesi!$C$29,Ipotesi!$C$21)+IF(AJ2&gt;=Ipotesi!$C$26,Ipotesi!$C$24+Ipotesi!$C$25,0)+IF(AJ2=Ipotesi!$C$28,Ipotesi!$C$27,0)</f>
        <v>945</v>
      </c>
      <c r="AK22" s="5" t="n">
        <f aca="false">IF(AK3=1,Ipotesi!$C$22+Ipotesi!$C$23+Ipotesi!$C$29,Ipotesi!$C$21)+IF(AK2&gt;=Ipotesi!$C$26,Ipotesi!$C$24+Ipotesi!$C$25,0)+IF(AK2=Ipotesi!$C$28,Ipotesi!$C$27,0)</f>
        <v>945</v>
      </c>
    </row>
    <row r="23" customFormat="false" ht="15" hidden="false" customHeight="false" outlineLevel="0" collapsed="false">
      <c r="A23" s="0" t="s">
        <v>107</v>
      </c>
      <c r="B23" s="5" t="n">
        <f aca="false">B3*Ipotesi!$F$48+IF(AND(Ipotesi!$F$49&gt;0,B11&gt;=Ipotesi!$F$49),Ipotesi!$F$50,0)</f>
        <v>0</v>
      </c>
      <c r="C23" s="5" t="n">
        <f aca="false">C3*Ipotesi!$F$48+IF(AND(Ipotesi!$F$49&gt;0,C11&gt;=Ipotesi!$F$49),Ipotesi!$F$50,0)</f>
        <v>0</v>
      </c>
      <c r="D23" s="5" t="n">
        <f aca="false">D3*Ipotesi!$F$48+IF(AND(Ipotesi!$F$49&gt;0,D11&gt;=Ipotesi!$F$49),Ipotesi!$F$50,0)</f>
        <v>0</v>
      </c>
      <c r="E23" s="5" t="n">
        <f aca="false">E3*Ipotesi!$F$48+IF(AND(Ipotesi!$F$49&gt;0,E11&gt;=Ipotesi!$F$49),Ipotesi!$F$50,0)</f>
        <v>0</v>
      </c>
      <c r="F23" s="5" t="n">
        <f aca="false">F3*Ipotesi!$F$48+IF(AND(Ipotesi!$F$49&gt;0,F11&gt;=Ipotesi!$F$49),Ipotesi!$F$50,0)</f>
        <v>0</v>
      </c>
      <c r="G23" s="5" t="n">
        <f aca="false">G3*Ipotesi!$F$48+IF(AND(Ipotesi!$F$49&gt;0,G11&gt;=Ipotesi!$F$49),Ipotesi!$F$50,0)</f>
        <v>0</v>
      </c>
      <c r="H23" s="5" t="n">
        <f aca="false">H3*Ipotesi!$F$48+IF(AND(Ipotesi!$F$49&gt;0,H11&gt;=Ipotesi!$F$49),Ipotesi!$F$50,0)</f>
        <v>0</v>
      </c>
      <c r="I23" s="5" t="n">
        <f aca="false">I3*Ipotesi!$F$48+IF(AND(Ipotesi!$F$49&gt;0,I11&gt;=Ipotesi!$F$49),Ipotesi!$F$50,0)</f>
        <v>0</v>
      </c>
      <c r="J23" s="5" t="n">
        <f aca="false">J3*Ipotesi!$F$48+IF(AND(Ipotesi!$F$49&gt;0,J11&gt;=Ipotesi!$F$49),Ipotesi!$F$50,0)</f>
        <v>0</v>
      </c>
      <c r="K23" s="5" t="n">
        <f aca="false">K3*Ipotesi!$F$48+IF(AND(Ipotesi!$F$49&gt;0,K11&gt;=Ipotesi!$F$49),Ipotesi!$F$50,0)</f>
        <v>0</v>
      </c>
      <c r="L23" s="5" t="n">
        <f aca="false">L3*Ipotesi!$F$48+IF(AND(Ipotesi!$F$49&gt;0,L11&gt;=Ipotesi!$F$49),Ipotesi!$F$50,0)</f>
        <v>0</v>
      </c>
      <c r="M23" s="5" t="n">
        <f aca="false">M3*Ipotesi!$F$48+IF(AND(Ipotesi!$F$49&gt;0,M11&gt;=Ipotesi!$F$49),Ipotesi!$F$50,0)</f>
        <v>0</v>
      </c>
      <c r="N23" s="5" t="n">
        <f aca="false">N3*Ipotesi!$F$48+IF(AND(Ipotesi!$F$49&gt;0,N11&gt;=Ipotesi!$F$49),Ipotesi!$F$50,0)</f>
        <v>0</v>
      </c>
      <c r="O23" s="5" t="n">
        <f aca="false">O3*Ipotesi!$F$48+IF(AND(Ipotesi!$F$49&gt;0,O11&gt;=Ipotesi!$F$49),Ipotesi!$F$50,0)</f>
        <v>0</v>
      </c>
      <c r="P23" s="5" t="n">
        <f aca="false">P3*Ipotesi!$F$48+IF(AND(Ipotesi!$F$49&gt;0,P11&gt;=Ipotesi!$F$49),Ipotesi!$F$50,0)</f>
        <v>0</v>
      </c>
      <c r="Q23" s="5" t="n">
        <f aca="false">Q3*Ipotesi!$F$48+IF(AND(Ipotesi!$F$49&gt;0,Q11&gt;=Ipotesi!$F$49),Ipotesi!$F$50,0)</f>
        <v>0</v>
      </c>
      <c r="R23" s="5" t="n">
        <f aca="false">R3*Ipotesi!$F$48+IF(AND(Ipotesi!$F$49&gt;0,R11&gt;=Ipotesi!$F$49),Ipotesi!$F$50,0)</f>
        <v>0</v>
      </c>
      <c r="S23" s="5" t="n">
        <f aca="false">S3*Ipotesi!$F$48+IF(AND(Ipotesi!$F$49&gt;0,S11&gt;=Ipotesi!$F$49),Ipotesi!$F$50,0)</f>
        <v>0</v>
      </c>
      <c r="T23" s="5" t="n">
        <f aca="false">T3*Ipotesi!$F$48+IF(AND(Ipotesi!$F$49&gt;0,T11&gt;=Ipotesi!$F$49),Ipotesi!$F$50,0)</f>
        <v>0</v>
      </c>
      <c r="U23" s="5" t="n">
        <f aca="false">U3*Ipotesi!$F$48+IF(AND(Ipotesi!$F$49&gt;0,U11&gt;=Ipotesi!$F$49),Ipotesi!$F$50,0)</f>
        <v>0</v>
      </c>
      <c r="V23" s="5" t="n">
        <f aca="false">V3*Ipotesi!$F$48+IF(AND(Ipotesi!$F$49&gt;0,V11&gt;=Ipotesi!$F$49),Ipotesi!$F$50,0)</f>
        <v>0</v>
      </c>
      <c r="W23" s="5" t="n">
        <f aca="false">W3*Ipotesi!$F$48+IF(AND(Ipotesi!$F$49&gt;0,W11&gt;=Ipotesi!$F$49),Ipotesi!$F$50,0)</f>
        <v>0</v>
      </c>
      <c r="X23" s="5" t="n">
        <f aca="false">X3*Ipotesi!$F$48+IF(AND(Ipotesi!$F$49&gt;0,X11&gt;=Ipotesi!$F$49),Ipotesi!$F$50,0)</f>
        <v>0</v>
      </c>
      <c r="Y23" s="5" t="n">
        <f aca="false">Y3*Ipotesi!$F$48+IF(AND(Ipotesi!$F$49&gt;0,Y11&gt;=Ipotesi!$F$49),Ipotesi!$F$50,0)</f>
        <v>0</v>
      </c>
      <c r="Z23" s="5" t="n">
        <f aca="false">Z3*Ipotesi!$F$48+IF(AND(Ipotesi!$F$49&gt;0,Z11&gt;=Ipotesi!$F$49),Ipotesi!$F$50,0)</f>
        <v>0</v>
      </c>
      <c r="AA23" s="5" t="n">
        <f aca="false">AA3*Ipotesi!$F$48+IF(AND(Ipotesi!$F$49&gt;0,AA11&gt;=Ipotesi!$F$49),Ipotesi!$F$50,0)</f>
        <v>0</v>
      </c>
      <c r="AB23" s="5" t="n">
        <f aca="false">AB3*Ipotesi!$F$48+IF(AND(Ipotesi!$F$49&gt;0,AB11&gt;=Ipotesi!$F$49),Ipotesi!$F$50,0)</f>
        <v>0</v>
      </c>
      <c r="AC23" s="5" t="n">
        <f aca="false">AC3*Ipotesi!$F$48+IF(AND(Ipotesi!$F$49&gt;0,AC11&gt;=Ipotesi!$F$49),Ipotesi!$F$50,0)</f>
        <v>0</v>
      </c>
      <c r="AD23" s="5" t="n">
        <f aca="false">AD3*Ipotesi!$F$48+IF(AND(Ipotesi!$F$49&gt;0,AD11&gt;=Ipotesi!$F$49),Ipotesi!$F$50,0)</f>
        <v>0</v>
      </c>
      <c r="AE23" s="5" t="n">
        <f aca="false">AE3*Ipotesi!$F$48+IF(AND(Ipotesi!$F$49&gt;0,AE11&gt;=Ipotesi!$F$49),Ipotesi!$F$50,0)</f>
        <v>0</v>
      </c>
      <c r="AF23" s="5" t="n">
        <f aca="false">AF3*Ipotesi!$F$48+IF(AND(Ipotesi!$F$49&gt;0,AF11&gt;=Ipotesi!$F$49),Ipotesi!$F$50,0)</f>
        <v>0</v>
      </c>
      <c r="AG23" s="5" t="n">
        <f aca="false">AG3*Ipotesi!$F$48+IF(AND(Ipotesi!$F$49&gt;0,AG11&gt;=Ipotesi!$F$49),Ipotesi!$F$50,0)</f>
        <v>0</v>
      </c>
      <c r="AH23" s="5" t="n">
        <f aca="false">AH3*Ipotesi!$F$48+IF(AND(Ipotesi!$F$49&gt;0,AH11&gt;=Ipotesi!$F$49),Ipotesi!$F$50,0)</f>
        <v>0</v>
      </c>
      <c r="AI23" s="5" t="n">
        <f aca="false">AI3*Ipotesi!$F$48+IF(AND(Ipotesi!$F$49&gt;0,AI11&gt;=Ipotesi!$F$49),Ipotesi!$F$50,0)</f>
        <v>0</v>
      </c>
      <c r="AJ23" s="5" t="n">
        <f aca="false">AJ3*Ipotesi!$F$48+IF(AND(Ipotesi!$F$49&gt;0,AJ11&gt;=Ipotesi!$F$49),Ipotesi!$F$50,0)</f>
        <v>0</v>
      </c>
      <c r="AK23" s="5" t="n">
        <f aca="false">AK3*Ipotesi!$F$48+IF(AND(Ipotesi!$F$49&gt;0,AK11&gt;=Ipotesi!$F$49),Ipotesi!$F$50,0)</f>
        <v>0</v>
      </c>
    </row>
    <row r="24" customFormat="false" ht="15" hidden="false" customHeight="false" outlineLevel="0" collapsed="false">
      <c r="A24" s="1" t="s">
        <v>108</v>
      </c>
      <c r="B24" s="5" t="n">
        <f aca="false">B21-B22-B23</f>
        <v>-205</v>
      </c>
      <c r="C24" s="5" t="n">
        <f aca="false">C21-C22-C23</f>
        <v>-455</v>
      </c>
      <c r="D24" s="5" t="n">
        <f aca="false">D21-D22-D23</f>
        <v>-6455</v>
      </c>
      <c r="E24" s="5" t="n">
        <f aca="false">E21-E22-E23</f>
        <v>-455</v>
      </c>
      <c r="F24" s="5" t="n">
        <f aca="false">F21-F22-F23</f>
        <v>-455</v>
      </c>
      <c r="G24" s="5" t="n">
        <f aca="false">G21-G22-G23</f>
        <v>-455</v>
      </c>
      <c r="H24" s="5" t="n">
        <f aca="false">H21-H22-H23</f>
        <v>-1262.4</v>
      </c>
      <c r="I24" s="5" t="n">
        <f aca="false">I21-I22-I23</f>
        <v>-1262.4</v>
      </c>
      <c r="J24" s="5" t="n">
        <f aca="false">J21-J22-J23</f>
        <v>-914.2375</v>
      </c>
      <c r="K24" s="5" t="n">
        <f aca="false">K21-K22-K23</f>
        <v>-576.425</v>
      </c>
      <c r="L24" s="5" t="n">
        <f aca="false">L21-L22-L23</f>
        <v>-242.5545</v>
      </c>
      <c r="M24" s="5" t="n">
        <f aca="false">M21-M22-M23</f>
        <v>87.4922599999998</v>
      </c>
      <c r="N24" s="5" t="n">
        <f aca="false">N21-N22-N23</f>
        <v>207.4174922</v>
      </c>
      <c r="O24" s="5" t="n">
        <f aca="false">O21-O22-O23</f>
        <v>404.624967434</v>
      </c>
      <c r="P24" s="5" t="n">
        <f aca="false">P21-P22-P23</f>
        <v>598.34261841098</v>
      </c>
      <c r="Q24" s="5" t="n">
        <f aca="false">Q21-Q22-Q23</f>
        <v>788.67513985865</v>
      </c>
      <c r="R24" s="5" t="n">
        <f aca="false">R21-R22-R23</f>
        <v>975.724085662891</v>
      </c>
      <c r="S24" s="5" t="n">
        <f aca="false">S21-S22-S23</f>
        <v>1159.587963093</v>
      </c>
      <c r="T24" s="5" t="n">
        <f aca="false">T21-T22-T23</f>
        <v>1340.36232420021</v>
      </c>
      <c r="U24" s="5" t="n">
        <f aca="false">U21-U22-U23</f>
        <v>1518.13985447421</v>
      </c>
      <c r="V24" s="5" t="n">
        <f aca="false">V21-V22-V23</f>
        <v>1693.01045883998</v>
      </c>
      <c r="W24" s="5" t="n">
        <f aca="false">W21-W22-W23</f>
        <v>1865.06134507478</v>
      </c>
      <c r="X24" s="5" t="n">
        <f aca="false">X21-X22-X23</f>
        <v>2034.37710472254</v>
      </c>
      <c r="Y24" s="5" t="n">
        <f aca="false">Y21-Y22-Y23</f>
        <v>2201.03979158086</v>
      </c>
      <c r="Z24" s="5" t="n">
        <f aca="false">Z21-Z22-Z23</f>
        <v>2365.12899783344</v>
      </c>
      <c r="AA24" s="5" t="n">
        <f aca="false">AA21-AA22-AA23</f>
        <v>2526.72192789843</v>
      </c>
      <c r="AB24" s="5" t="n">
        <f aca="false">AB21-AB22-AB23</f>
        <v>2685.89347006148</v>
      </c>
      <c r="AC24" s="5" t="n">
        <f aca="false">AC21-AC22-AC23</f>
        <v>2842.71626595964</v>
      </c>
      <c r="AD24" s="5" t="n">
        <f aca="false">AD21-AD22-AD23</f>
        <v>3220.78077798085</v>
      </c>
      <c r="AE24" s="5" t="n">
        <f aca="false">AE21-AE22-AE23</f>
        <v>3593.59135464142</v>
      </c>
      <c r="AF24" s="5" t="n">
        <f aca="false">AF21-AF22-AF23</f>
        <v>3961.24473400218</v>
      </c>
      <c r="AG24" s="5" t="n">
        <f aca="false">AG21-AG22-AG23</f>
        <v>4323.83536078211</v>
      </c>
      <c r="AH24" s="5" t="n">
        <f aca="false">AH21-AH22-AH23</f>
        <v>4681.45544907065</v>
      </c>
      <c r="AI24" s="5" t="n">
        <f aca="false">AI21-AI22-AI23</f>
        <v>5034.19504321941</v>
      </c>
      <c r="AJ24" s="5" t="n">
        <f aca="false">AJ21-AJ22-AJ23</f>
        <v>5382.1420769675</v>
      </c>
      <c r="AK24" s="5" t="n">
        <f aca="false">AK21-AK22-AK23</f>
        <v>5725.3824308527</v>
      </c>
    </row>
    <row r="25" customFormat="false" ht="15" hidden="false" customHeight="false" outlineLevel="0" collapsed="false">
      <c r="A25" s="0" t="s">
        <v>109</v>
      </c>
      <c r="B25" s="5" t="n">
        <f aca="false">IF(AND(B4=1,MOD(B2-(Ipotesi!$F$32+Ipotesi!$F$35+Ipotesi!$F$36-1),12)=0),Ipotesi!$F$33*Ipotesi!$C$11*12,0)-B4*Ipotesi!$F$33*Ipotesi!$C$11</f>
        <v>0</v>
      </c>
      <c r="C25" s="5" t="n">
        <f aca="false">IF(AND(C4=1,MOD(C2-(Ipotesi!$F$32+Ipotesi!$F$35+Ipotesi!$F$36-1),12)=0),Ipotesi!$F$33*Ipotesi!$C$11*12,0)-C4*Ipotesi!$F$33*Ipotesi!$C$11</f>
        <v>0</v>
      </c>
      <c r="D25" s="5" t="n">
        <f aca="false">IF(AND(D4=1,MOD(D2-(Ipotesi!$F$32+Ipotesi!$F$35+Ipotesi!$F$36-1),12)=0),Ipotesi!$F$33*Ipotesi!$C$11*12,0)-D4*Ipotesi!$F$33*Ipotesi!$C$11</f>
        <v>0</v>
      </c>
      <c r="E25" s="5" t="n">
        <f aca="false">IF(AND(E4=1,MOD(E2-(Ipotesi!$F$32+Ipotesi!$F$35+Ipotesi!$F$36-1),12)=0),Ipotesi!$F$33*Ipotesi!$C$11*12,0)-E4*Ipotesi!$F$33*Ipotesi!$C$11</f>
        <v>0</v>
      </c>
      <c r="F25" s="5" t="n">
        <f aca="false">IF(AND(F4=1,MOD(F2-(Ipotesi!$F$32+Ipotesi!$F$35+Ipotesi!$F$36-1),12)=0),Ipotesi!$F$33*Ipotesi!$C$11*12,0)-F4*Ipotesi!$F$33*Ipotesi!$C$11</f>
        <v>0</v>
      </c>
      <c r="G25" s="5" t="n">
        <f aca="false">IF(AND(G4=1,MOD(G2-(Ipotesi!$F$32+Ipotesi!$F$35+Ipotesi!$F$36-1),12)=0),Ipotesi!$F$33*Ipotesi!$C$11*12,0)-G4*Ipotesi!$F$33*Ipotesi!$C$11</f>
        <v>0</v>
      </c>
      <c r="H25" s="5" t="n">
        <f aca="false">IF(AND(H4=1,MOD(H2-(Ipotesi!$F$32+Ipotesi!$F$35+Ipotesi!$F$36-1),12)=0),Ipotesi!$F$33*Ipotesi!$C$11*12,0)-H4*Ipotesi!$F$33*Ipotesi!$C$11</f>
        <v>0</v>
      </c>
      <c r="I25" s="5" t="n">
        <f aca="false">IF(AND(I4=1,MOD(I2-(Ipotesi!$F$32+Ipotesi!$F$35+Ipotesi!$F$36-1),12)=0),Ipotesi!$F$33*Ipotesi!$C$11*12,0)-I4*Ipotesi!$F$33*Ipotesi!$C$11</f>
        <v>0</v>
      </c>
      <c r="J25" s="5" t="n">
        <f aca="false">IF(AND(J4=1,MOD(J2-(Ipotesi!$F$32+Ipotesi!$F$35+Ipotesi!$F$36-1),12)=0),Ipotesi!$F$33*Ipotesi!$C$11*12,0)-J4*Ipotesi!$F$33*Ipotesi!$C$11</f>
        <v>0</v>
      </c>
      <c r="K25" s="5" t="n">
        <f aca="false">IF(AND(K4=1,MOD(K2-(Ipotesi!$F$32+Ipotesi!$F$35+Ipotesi!$F$36-1),12)=0),Ipotesi!$F$33*Ipotesi!$C$11*12,0)-K4*Ipotesi!$F$33*Ipotesi!$C$11</f>
        <v>0</v>
      </c>
      <c r="L25" s="5" t="n">
        <f aca="false">IF(AND(L4=1,MOD(L2-(Ipotesi!$F$32+Ipotesi!$F$35+Ipotesi!$F$36-1),12)=0),Ipotesi!$F$33*Ipotesi!$C$11*12,0)-L4*Ipotesi!$F$33*Ipotesi!$C$11</f>
        <v>0</v>
      </c>
      <c r="M25" s="5" t="n">
        <f aca="false">IF(AND(M4=1,MOD(M2-(Ipotesi!$F$32+Ipotesi!$F$35+Ipotesi!$F$36-1),12)=0),Ipotesi!$F$33*Ipotesi!$C$11*12,0)-M4*Ipotesi!$F$33*Ipotesi!$C$11</f>
        <v>19030</v>
      </c>
      <c r="N25" s="5" t="n">
        <f aca="false">IF(AND(N4=1,MOD(N2-(Ipotesi!$F$32+Ipotesi!$F$35+Ipotesi!$F$36-1),12)=0),Ipotesi!$F$33*Ipotesi!$C$11*12,0)-N4*Ipotesi!$F$33*Ipotesi!$C$11</f>
        <v>-1730</v>
      </c>
      <c r="O25" s="5" t="n">
        <f aca="false">IF(AND(O4=1,MOD(O2-(Ipotesi!$F$32+Ipotesi!$F$35+Ipotesi!$F$36-1),12)=0),Ipotesi!$F$33*Ipotesi!$C$11*12,0)-O4*Ipotesi!$F$33*Ipotesi!$C$11</f>
        <v>-1730</v>
      </c>
      <c r="P25" s="5" t="n">
        <f aca="false">IF(AND(P4=1,MOD(P2-(Ipotesi!$F$32+Ipotesi!$F$35+Ipotesi!$F$36-1),12)=0),Ipotesi!$F$33*Ipotesi!$C$11*12,0)-P4*Ipotesi!$F$33*Ipotesi!$C$11</f>
        <v>-1730</v>
      </c>
      <c r="Q25" s="5" t="n">
        <f aca="false">IF(AND(Q4=1,MOD(Q2-(Ipotesi!$F$32+Ipotesi!$F$35+Ipotesi!$F$36-1),12)=0),Ipotesi!$F$33*Ipotesi!$C$11*12,0)-Q4*Ipotesi!$F$33*Ipotesi!$C$11</f>
        <v>-1730</v>
      </c>
      <c r="R25" s="5" t="n">
        <f aca="false">IF(AND(R4=1,MOD(R2-(Ipotesi!$F$32+Ipotesi!$F$35+Ipotesi!$F$36-1),12)=0),Ipotesi!$F$33*Ipotesi!$C$11*12,0)-R4*Ipotesi!$F$33*Ipotesi!$C$11</f>
        <v>-1730</v>
      </c>
      <c r="S25" s="5" t="n">
        <f aca="false">IF(AND(S4=1,MOD(S2-(Ipotesi!$F$32+Ipotesi!$F$35+Ipotesi!$F$36-1),12)=0),Ipotesi!$F$33*Ipotesi!$C$11*12,0)-S4*Ipotesi!$F$33*Ipotesi!$C$11</f>
        <v>-1730</v>
      </c>
      <c r="T25" s="5" t="n">
        <f aca="false">IF(AND(T4=1,MOD(T2-(Ipotesi!$F$32+Ipotesi!$F$35+Ipotesi!$F$36-1),12)=0),Ipotesi!$F$33*Ipotesi!$C$11*12,0)-T4*Ipotesi!$F$33*Ipotesi!$C$11</f>
        <v>-1730</v>
      </c>
      <c r="U25" s="5" t="n">
        <f aca="false">IF(AND(U4=1,MOD(U2-(Ipotesi!$F$32+Ipotesi!$F$35+Ipotesi!$F$36-1),12)=0),Ipotesi!$F$33*Ipotesi!$C$11*12,0)-U4*Ipotesi!$F$33*Ipotesi!$C$11</f>
        <v>-1730</v>
      </c>
      <c r="V25" s="5" t="n">
        <f aca="false">IF(AND(V4=1,MOD(V2-(Ipotesi!$F$32+Ipotesi!$F$35+Ipotesi!$F$36-1),12)=0),Ipotesi!$F$33*Ipotesi!$C$11*12,0)-V4*Ipotesi!$F$33*Ipotesi!$C$11</f>
        <v>-1730</v>
      </c>
      <c r="W25" s="5" t="n">
        <f aca="false">IF(AND(W4=1,MOD(W2-(Ipotesi!$F$32+Ipotesi!$F$35+Ipotesi!$F$36-1),12)=0),Ipotesi!$F$33*Ipotesi!$C$11*12,0)-W4*Ipotesi!$F$33*Ipotesi!$C$11</f>
        <v>-1730</v>
      </c>
      <c r="X25" s="5" t="n">
        <f aca="false">IF(AND(X4=1,MOD(X2-(Ipotesi!$F$32+Ipotesi!$F$35+Ipotesi!$F$36-1),12)=0),Ipotesi!$F$33*Ipotesi!$C$11*12,0)-X4*Ipotesi!$F$33*Ipotesi!$C$11</f>
        <v>-1730</v>
      </c>
      <c r="Y25" s="5" t="n">
        <f aca="false">IF(AND(Y4=1,MOD(Y2-(Ipotesi!$F$32+Ipotesi!$F$35+Ipotesi!$F$36-1),12)=0),Ipotesi!$F$33*Ipotesi!$C$11*12,0)-Y4*Ipotesi!$F$33*Ipotesi!$C$11</f>
        <v>19030</v>
      </c>
      <c r="Z25" s="5" t="n">
        <f aca="false">IF(AND(Z4=1,MOD(Z2-(Ipotesi!$F$32+Ipotesi!$F$35+Ipotesi!$F$36-1),12)=0),Ipotesi!$F$33*Ipotesi!$C$11*12,0)-Z4*Ipotesi!$F$33*Ipotesi!$C$11</f>
        <v>-1730</v>
      </c>
      <c r="AA25" s="5" t="n">
        <f aca="false">IF(AND(AA4=1,MOD(AA2-(Ipotesi!$F$32+Ipotesi!$F$35+Ipotesi!$F$36-1),12)=0),Ipotesi!$F$33*Ipotesi!$C$11*12,0)-AA4*Ipotesi!$F$33*Ipotesi!$C$11</f>
        <v>-1730</v>
      </c>
      <c r="AB25" s="5" t="n">
        <f aca="false">IF(AND(AB4=1,MOD(AB2-(Ipotesi!$F$32+Ipotesi!$F$35+Ipotesi!$F$36-1),12)=0),Ipotesi!$F$33*Ipotesi!$C$11*12,0)-AB4*Ipotesi!$F$33*Ipotesi!$C$11</f>
        <v>-1730</v>
      </c>
      <c r="AC25" s="5" t="n">
        <f aca="false">IF(AND(AC4=1,MOD(AC2-(Ipotesi!$F$32+Ipotesi!$F$35+Ipotesi!$F$36-1),12)=0),Ipotesi!$F$33*Ipotesi!$C$11*12,0)-AC4*Ipotesi!$F$33*Ipotesi!$C$11</f>
        <v>-1730</v>
      </c>
      <c r="AD25" s="5" t="n">
        <f aca="false">IF(AND(AD4=1,MOD(AD2-(Ipotesi!$F$32+Ipotesi!$F$35+Ipotesi!$F$36-1),12)=0),Ipotesi!$F$33*Ipotesi!$C$11*12,0)-AD4*Ipotesi!$F$33*Ipotesi!$C$11</f>
        <v>-1730</v>
      </c>
      <c r="AE25" s="5" t="n">
        <f aca="false">IF(AND(AE4=1,MOD(AE2-(Ipotesi!$F$32+Ipotesi!$F$35+Ipotesi!$F$36-1),12)=0),Ipotesi!$F$33*Ipotesi!$C$11*12,0)-AE4*Ipotesi!$F$33*Ipotesi!$C$11</f>
        <v>-1730</v>
      </c>
      <c r="AF25" s="5" t="n">
        <f aca="false">IF(AND(AF4=1,MOD(AF2-(Ipotesi!$F$32+Ipotesi!$F$35+Ipotesi!$F$36-1),12)=0),Ipotesi!$F$33*Ipotesi!$C$11*12,0)-AF4*Ipotesi!$F$33*Ipotesi!$C$11</f>
        <v>-1730</v>
      </c>
      <c r="AG25" s="5" t="n">
        <f aca="false">IF(AND(AG4=1,MOD(AG2-(Ipotesi!$F$32+Ipotesi!$F$35+Ipotesi!$F$36-1),12)=0),Ipotesi!$F$33*Ipotesi!$C$11*12,0)-AG4*Ipotesi!$F$33*Ipotesi!$C$11</f>
        <v>-1730</v>
      </c>
      <c r="AH25" s="5" t="n">
        <f aca="false">IF(AND(AH4=1,MOD(AH2-(Ipotesi!$F$32+Ipotesi!$F$35+Ipotesi!$F$36-1),12)=0),Ipotesi!$F$33*Ipotesi!$C$11*12,0)-AH4*Ipotesi!$F$33*Ipotesi!$C$11</f>
        <v>-1730</v>
      </c>
      <c r="AI25" s="5" t="n">
        <f aca="false">IF(AND(AI4=1,MOD(AI2-(Ipotesi!$F$32+Ipotesi!$F$35+Ipotesi!$F$36-1),12)=0),Ipotesi!$F$33*Ipotesi!$C$11*12,0)-AI4*Ipotesi!$F$33*Ipotesi!$C$11</f>
        <v>-1730</v>
      </c>
      <c r="AJ25" s="5" t="n">
        <f aca="false">IF(AND(AJ4=1,MOD(AJ2-(Ipotesi!$F$32+Ipotesi!$F$35+Ipotesi!$F$36-1),12)=0),Ipotesi!$F$33*Ipotesi!$C$11*12,0)-AJ4*Ipotesi!$F$33*Ipotesi!$C$11</f>
        <v>-1730</v>
      </c>
      <c r="AK25" s="5" t="n">
        <f aca="false">IF(AND(AK4=1,MOD(AK2-(Ipotesi!$F$32+Ipotesi!$F$35+Ipotesi!$F$36-1),12)=0),Ipotesi!$F$33*Ipotesi!$C$11*12,0)-AK4*Ipotesi!$F$33*Ipotesi!$C$11</f>
        <v>19030</v>
      </c>
    </row>
    <row r="26" customFormat="false" ht="15" hidden="false" customHeight="false" outlineLevel="0" collapsed="false">
      <c r="A26" s="0" t="s">
        <v>110</v>
      </c>
      <c r="B26" s="5" t="n">
        <f aca="false">0+B24+B25</f>
        <v>-205</v>
      </c>
      <c r="C26" s="5" t="n">
        <f aca="false">B26+C24+C25</f>
        <v>-660</v>
      </c>
      <c r="D26" s="5" t="n">
        <f aca="false">C26+D24+D25</f>
        <v>-7115</v>
      </c>
      <c r="E26" s="5" t="n">
        <f aca="false">D26+E24+E25</f>
        <v>-7570</v>
      </c>
      <c r="F26" s="5" t="n">
        <f aca="false">E26+F24+F25</f>
        <v>-8025</v>
      </c>
      <c r="G26" s="5" t="n">
        <f aca="false">F26+G24+G25</f>
        <v>-8480</v>
      </c>
      <c r="H26" s="5" t="n">
        <f aca="false">G26+H24+H25</f>
        <v>-9742.4</v>
      </c>
      <c r="I26" s="5" t="n">
        <f aca="false">H26+I24+I25</f>
        <v>-11004.8</v>
      </c>
      <c r="J26" s="5" t="n">
        <f aca="false">I26+J24+J25</f>
        <v>-11919.0375</v>
      </c>
      <c r="K26" s="5" t="n">
        <f aca="false">J26+K24+K25</f>
        <v>-12495.4625</v>
      </c>
      <c r="L26" s="5" t="n">
        <f aca="false">K26+L24+L25</f>
        <v>-12738.017</v>
      </c>
      <c r="M26" s="5" t="n">
        <f aca="false">L26+M24+M25</f>
        <v>6379.47526</v>
      </c>
      <c r="N26" s="5" t="n">
        <f aca="false">M26+N24+N25</f>
        <v>4856.8927522</v>
      </c>
      <c r="O26" s="5" t="n">
        <f aca="false">N26+O24+O25</f>
        <v>3531.517719634</v>
      </c>
      <c r="P26" s="5" t="n">
        <f aca="false">O26+P24+P25</f>
        <v>2399.86033804498</v>
      </c>
      <c r="Q26" s="5" t="n">
        <f aca="false">P26+Q24+Q25</f>
        <v>1458.53547790363</v>
      </c>
      <c r="R26" s="5" t="n">
        <f aca="false">Q26+R24+R25</f>
        <v>704.259563566522</v>
      </c>
      <c r="S26" s="5" t="n">
        <f aca="false">R26+S24+S25</f>
        <v>133.847526659526</v>
      </c>
      <c r="T26" s="5" t="n">
        <f aca="false">S26+T24+T25</f>
        <v>-255.79014914026</v>
      </c>
      <c r="U26" s="5" t="n">
        <f aca="false">T26+U24+U25</f>
        <v>-467.650294666051</v>
      </c>
      <c r="V26" s="5" t="n">
        <f aca="false">U26+V24+V25</f>
        <v>-504.639835826069</v>
      </c>
      <c r="W26" s="5" t="n">
        <f aca="false">V26+W24+W25</f>
        <v>-369.578490751287</v>
      </c>
      <c r="X26" s="5" t="n">
        <f aca="false">W26+X24+X25</f>
        <v>-65.2013860287489</v>
      </c>
      <c r="Y26" s="5" t="n">
        <f aca="false">X26+Y24+Y25</f>
        <v>21165.8384055521</v>
      </c>
      <c r="Z26" s="5" t="n">
        <f aca="false">Y26+Z24+Z25</f>
        <v>21800.9674033855</v>
      </c>
      <c r="AA26" s="5" t="n">
        <f aca="false">Z26+AA24+AA25</f>
        <v>22597.689331284</v>
      </c>
      <c r="AB26" s="5" t="n">
        <f aca="false">AA26+AB24+AB25</f>
        <v>23553.5828013455</v>
      </c>
      <c r="AC26" s="5" t="n">
        <f aca="false">AB26+AC24+AC25</f>
        <v>24666.2990673051</v>
      </c>
      <c r="AD26" s="5" t="n">
        <f aca="false">AC26+AD24+AD25</f>
        <v>26157.0798452859</v>
      </c>
      <c r="AE26" s="5" t="n">
        <f aca="false">AD26+AE24+AE25</f>
        <v>28020.6711999274</v>
      </c>
      <c r="AF26" s="5" t="n">
        <f aca="false">AE26+AF24+AF25</f>
        <v>30251.9159339295</v>
      </c>
      <c r="AG26" s="5" t="n">
        <f aca="false">AF26+AG24+AG25</f>
        <v>32845.7512947117</v>
      </c>
      <c r="AH26" s="5" t="n">
        <f aca="false">AG26+AH24+AH25</f>
        <v>35797.2067437823</v>
      </c>
      <c r="AI26" s="5" t="n">
        <f aca="false">AH26+AI24+AI25</f>
        <v>39101.4017870017</v>
      </c>
      <c r="AJ26" s="5" t="n">
        <f aca="false">AI26+AJ24+AJ25</f>
        <v>42753.5438639692</v>
      </c>
      <c r="AK26" s="5" t="n">
        <f aca="false">AJ26+AK24+AK25</f>
        <v>67508.9262948219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4" min="2" style="0" width="22"/>
  </cols>
  <sheetData>
    <row r="1" customFormat="false" ht="15" hidden="false" customHeight="false" outlineLevel="0" collapsed="false">
      <c r="A1" s="1" t="s">
        <v>111</v>
      </c>
    </row>
    <row r="2" customFormat="false" ht="15" hidden="false" customHeight="false" outlineLevel="0" collapsed="false">
      <c r="B2" s="1" t="s">
        <v>112</v>
      </c>
      <c r="C2" s="1" t="s">
        <v>113</v>
      </c>
      <c r="D2" s="1" t="s">
        <v>114</v>
      </c>
    </row>
    <row r="3" customFormat="false" ht="15" hidden="false" customHeight="false" outlineLevel="0" collapsed="false">
      <c r="A3" s="0" t="s">
        <v>115</v>
      </c>
      <c r="B3" s="5" t="n">
        <f aca="false">Mensile!M11</f>
        <v>250</v>
      </c>
      <c r="C3" s="5" t="n">
        <f aca="false">Mensile!Y11</f>
        <v>514</v>
      </c>
      <c r="D3" s="5" t="n">
        <f aca="false">Mensile!AK11</f>
        <v>919.02122228832</v>
      </c>
    </row>
    <row r="4" customFormat="false" ht="15" hidden="false" customHeight="false" outlineLevel="0" collapsed="false">
      <c r="A4" s="0" t="s">
        <v>116</v>
      </c>
      <c r="B4" s="5" t="n">
        <f aca="false">Mensile!M8</f>
        <v>17.4654</v>
      </c>
      <c r="C4" s="5" t="n">
        <f aca="false">Mensile!Y8</f>
        <v>73.3497621726421</v>
      </c>
      <c r="D4" s="5" t="n">
        <f aca="false">Mensile!AK8</f>
        <v>112.124699965232</v>
      </c>
    </row>
    <row r="5" customFormat="false" ht="15" hidden="false" customHeight="false" outlineLevel="0" collapsed="false">
      <c r="A5" s="0" t="s">
        <v>117</v>
      </c>
      <c r="B5" s="5" t="n">
        <f aca="false">SUM(Mensile!B16:M16)</f>
        <v>7936.5766</v>
      </c>
      <c r="C5" s="5" t="n">
        <f aca="false">SUM(Mensile!N16:Y16)</f>
        <v>66522.9364027859</v>
      </c>
      <c r="D5" s="5" t="n">
        <f aca="false">SUM(Mensile!Z16:AK16)</f>
        <v>131559.27823166</v>
      </c>
    </row>
    <row r="6" customFormat="false" ht="15" hidden="false" customHeight="false" outlineLevel="0" collapsed="false">
      <c r="A6" s="0" t="s">
        <v>118</v>
      </c>
      <c r="B6" s="5" t="n">
        <f aca="false">SUM(Mensile!B21:M21)</f>
        <v>1499.47526</v>
      </c>
      <c r="C6" s="5" t="n">
        <f aca="false">SUM(Mensile!N21:Y21)</f>
        <v>26126.3631455521</v>
      </c>
      <c r="D6" s="5" t="n">
        <f aca="false">SUM(Mensile!Z21:AK21)</f>
        <v>57683.0878892698</v>
      </c>
    </row>
    <row r="7" customFormat="false" ht="15" hidden="false" customHeight="false" outlineLevel="0" collapsed="false">
      <c r="A7" s="0" t="s">
        <v>16</v>
      </c>
      <c r="B7" s="5" t="n">
        <f aca="false">SUM(Mensile!B22:M22)</f>
        <v>14150</v>
      </c>
      <c r="C7" s="5" t="n">
        <f aca="false">SUM(Mensile!N22:Y22)</f>
        <v>11340</v>
      </c>
      <c r="D7" s="5" t="n">
        <f aca="false">SUM(Mensile!Z22:AK22)</f>
        <v>11340</v>
      </c>
    </row>
    <row r="8" customFormat="false" ht="15" hidden="false" customHeight="false" outlineLevel="0" collapsed="false">
      <c r="A8" s="0" t="s">
        <v>107</v>
      </c>
      <c r="B8" s="5" t="n">
        <f aca="false">SUM(Mensile!B23:M23)</f>
        <v>0</v>
      </c>
      <c r="C8" s="5" t="n">
        <f aca="false">SUM(Mensile!N23:Y23)</f>
        <v>0</v>
      </c>
      <c r="D8" s="5" t="n">
        <f aca="false">SUM(Mensile!Z23:AK23)</f>
        <v>0</v>
      </c>
    </row>
    <row r="9" customFormat="false" ht="15" hidden="false" customHeight="false" outlineLevel="0" collapsed="false">
      <c r="A9" s="0" t="s">
        <v>108</v>
      </c>
      <c r="B9" s="5" t="n">
        <f aca="false">SUM(Mensile!B24:M24)</f>
        <v>-12650.52474</v>
      </c>
      <c r="C9" s="5" t="n">
        <f aca="false">SUM(Mensile!N24:Y24)</f>
        <v>14786.3631455521</v>
      </c>
      <c r="D9" s="5" t="n">
        <f aca="false">SUM(Mensile!Z24:AK24)</f>
        <v>46343.0878892698</v>
      </c>
    </row>
    <row r="10" customFormat="false" ht="15" hidden="false" customHeight="false" outlineLevel="0" collapsed="false">
      <c r="A10" s="0" t="s">
        <v>119</v>
      </c>
      <c r="B10" s="5" t="n">
        <f aca="false">Mensile!M16</f>
        <v>3196.4966</v>
      </c>
      <c r="C10" s="5" t="n">
        <f aca="false">Mensile!Y16</f>
        <v>7657.78310300662</v>
      </c>
      <c r="D10" s="5" t="n">
        <f aca="false">Mensile!AK16</f>
        <v>14450.5346333165</v>
      </c>
    </row>
    <row r="11" customFormat="false" ht="15" hidden="false" customHeight="false" outlineLevel="0" collapsed="false">
      <c r="A11" s="0" t="s">
        <v>120</v>
      </c>
      <c r="B11" s="5" t="n">
        <f aca="false">Mensile!M26</f>
        <v>6379.47526</v>
      </c>
      <c r="C11" s="5" t="n">
        <f aca="false">Mensile!Y26</f>
        <v>21165.8384055521</v>
      </c>
      <c r="D11" s="5" t="n">
        <f aca="false">Mensile!AK26</f>
        <v>67508.9262948219</v>
      </c>
    </row>
    <row r="13" customFormat="false" ht="15" hidden="false" customHeight="false" outlineLevel="0" collapsed="false">
      <c r="A13" s="0" t="s">
        <v>121</v>
      </c>
      <c r="B13" s="5" t="n">
        <f aca="false">MIN(0,MIN(Mensile!B26:AK26))</f>
        <v>-12738.017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2026-10-15T19:15:53Z</dcterms:created>
  <dc:creator>openpyxl</dc:creator>
  <dc:description/>
  <dc:language>en-US</dc:language>
  <cp:lastModifiedBy/>
  <dcterms:modified xsi:type="dcterms:W3CDTF">2026-10-15T19:15:53Z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